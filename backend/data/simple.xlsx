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e7c07428cc45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매물데이터" sheetId="1" r:id="R6f0d1ff4983a45ad"/>
    <x:sheet xmlns:r="http://schemas.openxmlformats.org/officeDocument/2006/relationships" name="서비스_가상성능점수" sheetId="2" r:id="Rd0357b158a2942f2"/>
    <x:sheet xmlns:r="http://schemas.openxmlformats.org/officeDocument/2006/relationships" name="평가정답_입력금지" sheetId="3" r:id="R550ab6df899943b6"/>
    <x:sheet xmlns:r="http://schemas.openxmlformats.org/officeDocument/2006/relationships" name="취미상품_추가5개" sheetId="4" r:id="Rfd13c05193a24d28"/>
    <x:sheet xmlns:r="http://schemas.openxmlformats.org/officeDocument/2006/relationships" name="데이터_사용안내" sheetId="5" r:id="R4df6a151814446cc"/>
  </x:sheets>
</x:workbook>
</file>

<file path=xl/sharedStrings.xml><?xml version="1.0" encoding="utf-8"?>
<x:sst xmlns:x="http://schemas.openxmlformats.org/spreadsheetml/2006/main">
  <x:si>
    <x:t xml:space="preserve">ID</x:t>
  </x:si>
  <x:si>
    <x:t xml:space="preserve">CPU</x:t>
  </x:si>
  <x:si>
    <x:t xml:space="preserve">GPU</x:t>
  </x:si>
  <x:si>
    <x:t xml:space="preserve">CPU점수_가상</x:t>
  </x:si>
  <x:si>
    <x:t xml:space="preserve">GPU점수_가상</x:t>
  </x:si>
  <x:si>
    <x:t xml:space="preserve">종합점수_가상</x:t>
  </x:si>
  <x:si>
    <x:t xml:space="preserve">점수성격</x:t>
  </x:si>
  <x:si>
    <x:t xml:space="preserve">산정상태</x:t>
  </x:si>
  <x:si>
    <x:t xml:space="preserve">가중치</x:t>
  </x:si>
  <x:si>
    <x:t xml:space="preserve">값</x:t>
  </x:si>
  <x:si>
    <x:t xml:space="preserve">NOTEBOOK_001</x:t>
  </x:si>
  <x:si>
    <x:t xml:space="preserve">Intel Core i5-1235U</x:t>
  </x:si>
  <x:si>
    <x:t xml:space="preserve">Intel Iris Xe</x:t>
  </x:si>
  <x:si>
    <x:t xml:space="preserve">서비스 생성 / 100점 척도 / 실측 아님</x:t>
  </x:si>
  <x:si>
    <x:t xml:space="preserve">점수 부여</x:t>
  </x:si>
  <x:si>
    <x:t xml:space="preserve">NOTEBOOK_002</x:t>
  </x:si>
  <x:si>
    <x:t xml:space="preserve">Intel Core i5-1135G7</x:t>
  </x:si>
  <x:si>
    <x:t xml:space="preserve">NOTEBOOK_003</x:t>
  </x:si>
  <x:si>
    <x:t xml:space="preserve">Intel Core i5 / 세대 미기재</x:t>
  </x:si>
  <x:si>
    <x:t xml:space="preserve">미기재</x:t>
  </x:si>
  <x:si>
    <x:t xml:space="preserve">부품 정보 부족으로 산정 보류</x:t>
  </x:si>
  <x:si>
    <x:t xml:space="preserve">NOTEBOOK_004</x:t>
  </x:si>
  <x:si>
    <x:t xml:space="preserve">Intel Core i5-1335U</x:t>
  </x:si>
  <x:si>
    <x:t xml:space="preserve">NOTEBOOK_005</x:t>
  </x:si>
  <x:si>
    <x:t xml:space="preserve">Intel Core i7-1260P</x:t>
  </x:si>
  <x:si>
    <x:t xml:space="preserve">NOTEBOOK_006</x:t>
  </x:si>
  <x:si>
    <x:t xml:space="preserve">NOTEBOOK_007</x:t>
  </x:si>
  <x:si>
    <x:t xml:space="preserve">NOTEBOOK_008</x:t>
  </x:si>
  <x:si>
    <x:t xml:space="preserve">Intel Celeron N4020</x:t>
  </x:si>
  <x:si>
    <x:t xml:space="preserve">Intel UHD 600</x:t>
  </x:si>
  <x:si>
    <x:t xml:space="preserve">NOTEBOOK_009</x:t>
  </x:si>
  <x:si>
    <x:t xml:space="preserve">NOTEBOOK_010</x:t>
  </x:si>
  <x:si>
    <x:t xml:space="preserve">NOTEBOOK_011</x:t>
  </x:si>
  <x:si>
    <x:t xml:space="preserve">NOTEBOOK_012</x:t>
  </x:si>
  <x:si>
    <x:t xml:space="preserve">NOTEBOOK_013</x:t>
  </x:si>
  <x:si>
    <x:t xml:space="preserve">NOTEBOOK_014</x:t>
  </x:si>
  <x:si>
    <x:t xml:space="preserve">NOTEBOOK_015</x:t>
  </x:si>
  <x:si>
    <x:t xml:space="preserve">NOTEBOOK_016</x:t>
  </x:si>
  <x:si>
    <x:t xml:space="preserve">NOTEBOOK_017</x:t>
  </x:si>
  <x:si>
    <x:t xml:space="preserve">NOTEBOOK_018</x:t>
  </x:si>
  <x:si>
    <x:t xml:space="preserve">NOTEBOOK_019</x:t>
  </x:si>
  <x:si>
    <x:t xml:space="preserve">NOTEBOOK_020</x:t>
  </x:si>
  <x:si>
    <x:t xml:space="preserve">NOTEBOOK_021</x:t>
  </x:si>
  <x:si>
    <x:t xml:space="preserve">NOTEBOOK_022</x:t>
  </x:si>
  <x:si>
    <x:t xml:space="preserve">NOTEBOOK_023</x:t>
  </x:si>
  <x:si>
    <x:t xml:space="preserve">AMD Ryzen 5 5500U</x:t>
  </x:si>
  <x:si>
    <x:t xml:space="preserve">AMD Radeon 내장</x:t>
  </x:si>
  <x:si>
    <x:t xml:space="preserve">NOTEBOOK_024</x:t>
  </x:si>
  <x:si>
    <x:t xml:space="preserve">NOTEBOOK_025</x:t>
  </x:si>
  <x:si>
    <x:t xml:space="preserve">MACBOOK_001</x:t>
  </x:si>
  <x:si>
    <x:t xml:space="preserve">Apple M1</x:t>
  </x:si>
  <x:si>
    <x:t xml:space="preserve">Apple M1 GPU 7코어</x:t>
  </x:si>
  <x:si>
    <x:t xml:space="preserve">MACBOOK_002</x:t>
  </x:si>
  <x:si>
    <x:t xml:space="preserve">Apple M2</x:t>
  </x:si>
  <x:si>
    <x:t xml:space="preserve">Apple M2 GPU 8코어</x:t>
  </x:si>
  <x:si>
    <x:t xml:space="preserve">MACBOOK_003</x:t>
  </x:si>
  <x:si>
    <x:t xml:space="preserve">Apple M1 Pro</x:t>
  </x:si>
  <x:si>
    <x:t xml:space="preserve">Apple M1 Pro GPU 14코어</x:t>
  </x:si>
  <x:si>
    <x:t xml:space="preserve">MACBOOK_004</x:t>
  </x:si>
  <x:si>
    <x:t xml:space="preserve">Intel Core i5-8259U</x:t>
  </x:si>
  <x:si>
    <x:t xml:space="preserve">Intel Iris Plus 655</x:t>
  </x:si>
  <x:si>
    <x:t xml:space="preserve">MACBOOK_005</x:t>
  </x:si>
  <x:si>
    <x:t xml:space="preserve">Apple M3</x:t>
  </x:si>
  <x:si>
    <x:t xml:space="preserve">Apple M3 GPU 8코어</x:t>
  </x:si>
  <x:si>
    <x:t xml:space="preserve">DESKTOP_001</x:t>
  </x:si>
  <x:si>
    <x:t xml:space="preserve">Intel Core i5-12400</x:t>
  </x:si>
  <x:si>
    <x:t xml:space="preserve">Intel UHD 730</x:t>
  </x:si>
  <x:si>
    <x:t xml:space="preserve">DESKTOP_002</x:t>
  </x:si>
  <x:si>
    <x:t xml:space="preserve">AMD Ryzen 5 5600</x:t>
  </x:si>
  <x:si>
    <x:t xml:space="preserve">NVIDIA GeForce GTX 1660 Super</x:t>
  </x:si>
  <x:si>
    <x:t xml:space="preserve">DESKTOP_003</x:t>
  </x:si>
  <x:si>
    <x:t xml:space="preserve">Intel Core i7-13700</x:t>
  </x:si>
  <x:si>
    <x:t xml:space="preserve">NVIDIA GeForce RTX 4070</x:t>
  </x:si>
  <x:si>
    <x:t xml:space="preserve">DESKTOP_004</x:t>
  </x:si>
  <x:si>
    <x:t xml:space="preserve">Intel Core i3-10100</x:t>
  </x:si>
  <x:si>
    <x:t xml:space="preserve">Intel UHD 630</x:t>
  </x:si>
  <x:si>
    <x:t xml:space="preserve">DESKTOP_005</x:t>
  </x:si>
  <x:si>
    <x:t xml:space="preserve">AMD Ryzen 5 5600G</x:t>
  </x:si>
  <x:si>
    <x:t xml:space="preserve">AMD Radeon Vega 7</x:t>
  </x:si>
  <x:si>
    <x:t xml:space="preserve">기대분류</x:t>
  </x:si>
  <x:si>
    <x:t xml:space="preserve">과제 수행</x:t>
  </x:si>
  <x:si>
    <x:t xml:space="preserve">Windows</x:t>
  </x:si>
  <x:si>
    <x:t xml:space="preserve">삼성·LG</x:t>
  </x:si>
  <x:si>
    <x:t xml:space="preserve">1.3kg 이하</x:t>
  </x:si>
  <x:si>
    <x:t xml:space="preserve">50만원 이하</x:t>
  </x:si>
  <x:si>
    <x:t xml:space="preserve">단순 디자인</x:t>
  </x:si>
  <x:si>
    <x:t xml:space="preserve">양호한 외관</x:t>
  </x:si>
  <x:si>
    <x:t xml:space="preserve">사용 3년 이하</x:t>
  </x:si>
  <x:si>
    <x:t xml:space="preserve">거리 3km 이하</x:t>
  </x:si>
  <x:si>
    <x:t xml:space="preserve">정상 기능·충전기</x:t>
  </x:si>
  <x:si>
    <x:t xml:space="preserve">충족수</x:t>
  </x:si>
  <x:si>
    <x:t xml:space="preserve">충족률</x:t>
  </x:si>
  <x:si>
    <x:t xml:space="preserve">확인불가수</x:t>
  </x:si>
  <x:si>
    <x:t xml:space="preserve">충족패턴</x:t>
  </x:si>
  <x:si>
    <x:t xml:space="preserve">확인질문</x:t>
  </x:si>
  <x:si>
    <x:t xml:space="preserve">분류해석</x:t>
  </x:si>
  <x:si>
    <x:t xml:space="preserve">추천</x:t>
  </x:si>
  <x:si>
    <x:t xml:space="preserve">충족</x:t>
  </x:si>
  <x:si>
    <x:t xml:space="preserve">1111111111</x:t>
  </x:si>
  <x:si>
    <x:t xml:space="preserve">없음</x:t>
  </x:si>
  <x:si>
    <x:t xml:space="preserve">요청된 테스트 분류. 50%는 구매보류, 미상 정보 존재 시 확인 필요. 필수조건 우선 규칙은 별도 적용.</x:t>
  </x:si>
  <x:si>
    <x:t xml:space="preserve">기다리기</x:t>
  </x:si>
  <x:si>
    <x:t xml:space="preserve">미충족</x:t>
  </x:si>
  <x:si>
    <x:t xml:space="preserve">1100100011</x:t>
  </x:si>
  <x:si>
    <x:t xml:space="preserve">확인 필요</x:t>
  </x:si>
  <x:si>
    <x:t xml:space="preserve">확인불가</x:t>
  </x:si>
  <x:si>
    <x:t xml:space="preserve">?111110?00</x:t>
  </x:si>
  <x:si>
    <x:t xml:space="preserve">과제 수행 관련 정보·사진을 추가 제공해 주실 수 있나요? / 사용 3년 이하 관련 정보·사진을 추가 제공해 주실 수 있나요?</x:t>
  </x:si>
  <x:si>
    <x:t xml:space="preserve">1111010000</x:t>
  </x:si>
  <x:si>
    <x:t xml:space="preserve">1010101100</x:t>
  </x:si>
  <x:si>
    <x:t xml:space="preserve">0101100110</x:t>
  </x:si>
  <x:si>
    <x:t xml:space="preserve">1100011001</x:t>
  </x:si>
  <x:si>
    <x:t xml:space="preserve">0011010101</x:t>
  </x:si>
  <x:si>
    <x:t xml:space="preserve">111?10?01?</x:t>
  </x:si>
  <x:si>
    <x:t xml:space="preserve">1.3kg 이하 관련 정보·사진을 추가 제공해 주실 수 있나요? / 양호한 외관 관련 정보·사진을 추가 제공해 주실 수 있나요? / 정상 기능·충전기 관련 정보·사진을 추가 제공해 주실 수 있나요?</x:t>
  </x:si>
  <x:si>
    <x:t xml:space="preserve">11?101010?</x:t>
  </x:si>
  <x:si>
    <x:t xml:space="preserve">삼성·LG 관련 정보·사진을 추가 제공해 주실 수 있나요? / 정상 기능·충전기 관련 정보·사진을 추가 제공해 주실 수 있나요?</x:t>
  </x:si>
  <x:si>
    <x:t xml:space="preserve">?110101?10</x:t>
  </x:si>
  <x:si>
    <x:t xml:space="preserve">1?1110?001</x:t>
  </x:si>
  <x:si>
    <x:t xml:space="preserve">Windows 관련 정보·사진을 추가 제공해 주실 수 있나요? / 양호한 외관 관련 정보·사진을 추가 제공해 주실 수 있나요?</x:t>
  </x:si>
  <x:si>
    <x:t xml:space="preserve">110?01?101</x:t>
  </x:si>
  <x:si>
    <x:t xml:space="preserve">1.3kg 이하 관련 정보·사진을 추가 제공해 주실 수 있나요? / 양호한 외관 관련 정보·사진을 추가 제공해 주실 수 있나요?</x:t>
  </x:si>
  <x:si>
    <x:t xml:space="preserve">?10110110?</x:t>
  </x:si>
  <x:si>
    <x:t xml:space="preserve">과제 수행 관련 정보·사진을 추가 제공해 주실 수 있나요? / 정상 기능·충전기 관련 정보·사진을 추가 제공해 주실 수 있나요?</x:t>
  </x:si>
  <x:si>
    <x:t xml:space="preserve">101?010?11</x:t>
  </x:si>
  <x:si>
    <x:t xml:space="preserve">1.3kg 이하 관련 정보·사진을 추가 제공해 주실 수 있나요? / 사용 3년 이하 관련 정보·사진을 추가 제공해 주실 수 있나요?</x:t>
  </x:si>
  <x:si>
    <x:t xml:space="preserve">비추천</x:t>
  </x:si>
  <x:si>
    <x:t xml:space="preserve">0110100000</x:t>
  </x:si>
  <x:si>
    <x:t xml:space="preserve">1100000001</x:t>
  </x:si>
  <x:si>
    <x:t xml:space="preserve">0011010000</x:t>
  </x:si>
  <x:si>
    <x:t xml:space="preserve">0000101010</x:t>
  </x:si>
  <x:si>
    <x:t xml:space="preserve">0100000101</x:t>
  </x:si>
  <x:si>
    <x:t xml:space="preserve">1000010010</x:t>
  </x:si>
  <x:si>
    <x:t xml:space="preserve">0010001100</x:t>
  </x:si>
  <x:si>
    <x:t xml:space="preserve">0001100001</x:t>
  </x:si>
  <x:si>
    <x:t xml:space="preserve">1001111001</x:t>
  </x:si>
  <x:si>
    <x:t xml:space="preserve">Windows 선호에 부적합. 점수가 높아도 사용자 적합성과 별개.</x:t>
  </x:si>
  <x:si>
    <x:t xml:space="preserve">1001011111</x:t>
  </x:si>
  <x:si>
    <x:t xml:space="preserve">1000011001</x:t>
  </x:si>
  <x:si>
    <x:t xml:space="preserve">0000100010</x:t>
  </x:si>
  <x:si>
    <x:t xml:space="preserve">1001010101</x:t>
  </x:si>
  <x:si>
    <x:t xml:space="preserve">1100111011</x:t>
  </x:si>
  <x:si>
    <x:t xml:space="preserve">휴대할 노트북 검색에서 제외할 카테고리 대조군.</x:t>
  </x:si>
  <x:si>
    <x:t xml:space="preserve">1100100101</x:t>
  </x:si>
  <x:si>
    <x:t xml:space="preserve">1100001101</x:t>
  </x:si>
  <x:si>
    <x:t xml:space="preserve">0110110010</x:t>
  </x:si>
  <x:si>
    <x:t xml:space="preserve">1100110111</x:t>
  </x:si>
  <x:si>
    <x:t xml:space="preserve">항목</x:t>
  </x:si>
  <x:si>
    <x:t xml:space="preserve">설명</x:t>
  </x:si>
  <x:si>
    <x:t xml:space="preserve">범위</x:t>
  </x:si>
  <x:si>
    <x:t xml:space="preserve">전자기기 총 35개 = 노트북 25 + 맥북 5 + 컴퓨터 5. 기존 3개 포함, 신규 32개. 취미상품 5개는 별도 추가.</x:t>
  </x:si>
  <x:si>
    <x:t xml:space="preserve">노트북 분류</x:t>
  </x:si>
  <x:si>
    <x:t xml:space="preserve">추천 3 / 기다리기 6 / 확인 필요 8 / 비추천 8. 각각 100% / 50% / 알려진 조건 50% / 30%.</x:t>
  </x:si>
  <x:si>
    <x:t xml:space="preserve">가상 데이터</x:t>
  </x:si>
  <x:si>
    <x:t xml:space="preserve">판매글·가격·상태·지역·모델명·사양 조합은 시연용 창작. 실제 출시 모델이나 시세를 나타내지 않음.</x:t>
  </x:si>
  <x:si>
    <x:t xml:space="preserve">페르소나</x:t>
  </x:si>
  <x:si>
    <x:t xml:space="preserve">윤규민, 26세, 생물학과 3학년, 통학, 과제용 노트북, Windows 선호, 삼성·LG gram 선호, 영화 취미, 전자기기 초보.</x:t>
  </x:si>
  <x:si>
    <x:t xml:space="preserve">임시 수치 기준</x:t>
  </x:si>
  <x:si>
    <x:t xml:space="preserve">예산 50만원 / 본체 1.3kg / 거리 3km / 사용기간 36개월. 이전 샘플의 임시 기준을 유지.</x:t>
  </x:si>
  <x:si>
    <x:t xml:space="preserve">과제용 판정 기준</x:t>
  </x:si>
  <x:si>
    <x:t xml:space="preserve">이 데이터셋에서는 Windows/macOS의 일반 문서 활용 가능성, RAM 8GB 이상 및 충분한 SSD를 가정. OS 선호는 별도 항목. 실측 성능 보증 아님.</x:t>
  </x:si>
  <x:si>
    <x:t xml:space="preserve">성능 점수</x:t>
  </x:si>
  <x:si>
    <x:t xml:space="preserve">판매자가 입력하지 않음. CPU·GPU 상대 성능을 참고해 서비스가 임의 부여한 0~100점 가상 지수. 실제 벤치마크 결과 아님.</x:t>
  </x:si>
  <x:si>
    <x:t xml:space="preserve">종합 성능</x:t>
  </x:si>
  <x:si>
    <x:t xml:space="preserve">CPU 70% + GPU 30%를 반올림. 서비스_가상성능점수 시트 K2:K3 가중치 변경 가능. 개인 적합도와 별개.</x:t>
  </x:si>
  <x:si>
    <x:t xml:space="preserve">미상 부품</x:t>
  </x:si>
  <x:si>
    <x:t xml:space="preserve">CPU 세부 모델 또는 GPU가 미상이면 점수 공란. 빈칸은 0점이 아님. 성능 수치를 임의 추정하지 않음.</x:t>
  </x:si>
  <x:si>
    <x:t xml:space="preserve">평가 10개 항목에 동일 비중. 알려진 충족 5개면 50%. 미상은 미충족과 구분해 표시. 평가정답은 초기 데이터 기준 수동 라벨.</x:t>
  </x:si>
  <x:si>
    <x:t xml:space="preserve">기다리기 의미</x:t>
  </x:si>
  <x:si>
    <x:t xml:space="preserve">이 테스트에서는 현재 매물의 조건 적합도가 낮아 다른 후보 탐색을 권하는 의미. 향후 가격 하락 예측을 뜻하지 않음.</x:t>
  </x:si>
  <x:si>
    <x:t xml:space="preserve">판정 우선순위</x:t>
  </x:si>
  <x:si>
    <x:t xml:space="preserve">정답 라벨은 사용자가 요청한 시연용 분류. 실제 서비스의 필수조건 제외 정책과 충돌하면 정책에 따라 제외할 수 있음.</x:t>
  </x:si>
  <x:si>
    <x:t xml:space="preserve">중복 조건</x:t>
  </x:si>
  <x:si>
    <x:t xml:space="preserve">노트북의 기다리기·확인 필요·비추천 각각에서 충족 항목 집합을 다르게 구성. 개별 조건은 여러 매물에 반복될 수 있음.</x:t>
  </x:si>
  <x:si>
    <x:t xml:space="preserve">정답 누출 방지</x:t>
  </x:si>
  <x:si>
    <x:t xml:space="preserve">AI 입력에는 매물데이터 사용. 평가정답_입력금지 시트는 검증 전용. 기대분류·패턴·충족률을 검색 입력에 넣지 않음.</x:t>
  </x:si>
  <x:si>
    <x:t xml:space="preserve">이미지</x:t>
  </x:si>
  <x:si>
    <x:t xml:space="preserve">사진은 미첨부. 멀티모달 시연에는 판매글의 외관·구성품 설명과 맞는 이미지가 추가로 필요.</x:t>
  </x:si>
  <x:si>
    <x:t xml:space="preserve">거리</x:t>
  </x:si>
  <x:si>
    <x:t xml:space="preserve">샘플 지역, 사용자 기준 가상 거리. GPS·지도 API로 산출하지 않음.</x:t>
  </x:si>
  <x:si>
    <x:t xml:space="preserve">판매자 주장</x:t>
  </x:si>
  <x:si>
    <x:t xml:space="preserve">배터리 비율·정상 작동·사양은 판매글의 주장으로 취급. 서비스가 검사했다고 표현하지 않음.</x:t>
  </x:si>
  <x:si>
    <x:t xml:space="preserve">문서 이용권</x:t>
  </x:si>
  <x:si>
    <x:t xml:space="preserve">한글·Microsoft Office 이용권은 모두 미포함. 설치·라이선스와 하드웨어 적합성을 구분.</x:t>
  </x:si>
  <x:si>
    <x:t xml:space="preserve">성능 높은 대조군</x:t>
  </x:si>
  <x:si>
    <x:t xml:space="preserve">맥북은 Windows 선호, 데스크톱은 휴대성·카테고리 때문에 비추천. 높은 성능 점수가 곧 추천을 뜻하지 않음.</x:t>
  </x:si>
  <x:si>
    <x:t xml:space="preserve">성별</x:t>
  </x:si>
  <x:si>
    <x:t xml:space="preserve">디자인 선호는 사용자가 명시한 개인 취향으로 반영. 성별을 점수나 필터에 사용하지 않음.</x:t>
  </x:si>
  <x:si>
    <x:t xml:space="preserve">기존 샘플</x:t>
  </x:si>
  <x:si>
    <x:t xml:space="preserve">NOTEBOOK_001~003 유지. 002의 스티커 수정안을 통합해 50% 충족으로 정리. 판매글 문장은 엑셀용으로 정돈.</x:t>
  </x:si>
  <x:si>
    <x:t xml:space="preserve">재평가</x:t>
  </x:si>
  <x:si>
    <x:t xml:space="preserve">매물 내용을 수정하면 평가정답의 항목별 판정도 검토·수정해야 함. 충족수·충족률은 판정 셀을 기준으로 자동 계산.</x:t>
  </x:si>
</x:sst>
</file>

<file path=xl/styles.xml><?xml version="1.0" encoding="utf-8"?>
<x:styleSheet xmlns:x="http://schemas.openxmlformats.org/spreadsheetml/2006/main">
  <x:numFmts count="2">
    <x:numFmt numFmtId="164" formatCode="0.0"/>
    <x:numFmt numFmtId="200" formatCode="#,##0&quot;원&quot;"/>
  </x:numFmts>
  <x:fonts count="8">
    <x:font>
      <x:sz val="11"/>
      <x:color rgb="FF000000"/>
      <x:name val="맑은 고딕"/>
    </x:font>
    <x:font>
      <x:sz val="11"/>
      <x:color rgb="FF000000"/>
      <x:name val="맑은 고딕"/>
    </x:font>
    <x:font>
      <x:sz val="11"/>
      <x:color rgb="FF000000"/>
      <x:name val="맑은 고딕"/>
    </x:font>
    <x:font>
      <x:sz val="11"/>
      <x:color rgb="FF000000"/>
      <x:name val="맑은 고딕"/>
    </x:font>
    <x:font>
      <x:sz val="11"/>
      <x:color rgb="FF000000"/>
      <x:name val="맑은 고딕"/>
    </x:font>
    <x:font>
      <x:sz val="11"/>
      <x:color rgb="FF000000"/>
      <x:name val="맑은 고딕"/>
    </x:font>
    <x:font>
      <x:sz val="11"/>
      <x:color rgb="FF000000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35476B"/>
      </x:patternFill>
    </x:fill>
    <x:fill>
      <x:patternFill patternType="solid">
        <x:fgColor rgb="FF24473D"/>
      </x:patternFill>
    </x:fill>
    <x:fill>
      <x:patternFill patternType="solid">
        <x:fgColor rgb="FFF0F5F3"/>
      </x:patternFill>
    </x:fill>
  </x:fills>
  <x:borders count="1">
    <x:border>
      <x:left/>
      <x:right/>
      <x:top/>
      <x:bottom/>
    </x:border>
  </x:borders>
  <x:cellStyleXfs count="2">
    <x:xf numFmtId="0" fontId="0" fillId="0" borderId="0">
      <x:alignment horizontal="general" vertical="center"/>
    </x:xf>
    <x:xf numFmtId="0" fontId="0" fillId="0" borderId="0" applyAlignment="1">
      <x:alignment horizontal="general" vertical="bottom"/>
    </x:xf>
  </x:cellStyleXfs>
  <x:cellXfs count="17">
    <x:xf numFmtId="0" fontId="0" fillId="0" borderId="0" xfId="0">
      <x:alignment horizontal="general" vertical="center"/>
    </x:xf>
    <x:xf numFmtId="0" fontId="0" fillId="0" borderId="0" xfId="0" applyAlignment="1">
      <x:alignment horizontal="general" vertical="center"/>
    </x:xf>
    <x:xf numFmtId="0" fontId="0" fillId="0" borderId="0" xfId="1" applyAlignment="1">
      <x:alignment horizontal="general" vertical="bottom"/>
    </x:xf>
    <x:xf numFmtId="0" fontId="0" fillId="0" borderId="0" xfId="1" applyAlignment="1">
      <x:alignment horizontal="general" vertical="center" wrapText="1"/>
    </x:xf>
    <x:xf numFmtId="0" fontId="0" fillId="2" borderId="0" xfId="1" applyAlignment="1">
      <x:alignment horizontal="general" vertical="center" wrapText="1"/>
    </x:xf>
    <x:xf numFmtId="3" fontId="0" fillId="0" borderId="0" xfId="1" applyAlignment="1">
      <x:alignment horizontal="general" vertical="center" wrapText="1"/>
    </x:xf>
    <x:xf numFmtId="164" fontId="0" fillId="0" borderId="0" xfId="1" applyAlignment="1">
      <x:alignment horizontal="general" vertical="center" wrapText="1"/>
    </x:xf>
    <x:xf numFmtId="2" fontId="0" fillId="0" borderId="0" xfId="1" applyAlignment="1">
      <x:alignment horizontal="general" vertical="center" wrapText="1"/>
    </x:xf>
    <x:xf numFmtId="9" fontId="0" fillId="0" borderId="0" xfId="1" applyAlignment="1">
      <x:alignment horizontal="general" vertical="center" wrapText="1"/>
    </x:xf>
    <x:xf numFmtId="0" fontId="6" fillId="0" borderId="0" xfId="0" applyNumberFormat="1" applyFont="1" applyFill="1" applyBorder="1" applyAlignment="1">
      <x:alignment horizontal="general" vertical="center"/>
    </x:xf>
    <x:xf numFmtId="0" fontId="6" fillId="0" borderId="0" xfId="0" applyNumberFormat="1" applyFont="1" applyFill="1" applyBorder="1" applyAlignment="1">
      <x:alignment horizontal="general" vertical="center" wrapText="1"/>
    </x:xf>
    <x:xf numFmtId="0" fontId="6" fillId="0" borderId="0" xfId="0" applyNumberFormat="1" applyFont="1" applyFill="1" applyBorder="1" applyAlignment="1">
      <x:alignment horizontal="general" vertical="top" wrapText="1"/>
    </x:xf>
    <x:xf numFmtId="0" fontId="6" fillId="3" borderId="0" xfId="0" applyNumberFormat="1" applyFont="1" applyFill="1" applyBorder="1" applyAlignment="1">
      <x:alignment horizontal="general" vertical="top" wrapText="1"/>
    </x:xf>
    <x:xf numFmtId="0" fontId="7" fillId="3" borderId="0" xfId="0" applyNumberFormat="1" applyFont="1" applyFill="1" applyBorder="1" applyAlignment="1">
      <x:alignment horizontal="general" vertical="top" wrapText="1"/>
    </x:xf>
    <x:xf numFmtId="0" fontId="6" fillId="4" borderId="0" xfId="0" applyNumberFormat="1" applyFont="1" applyFill="1" applyBorder="1" applyAlignment="1">
      <x:alignment horizontal="general" vertical="top" wrapText="1"/>
    </x:xf>
    <x:xf numFmtId="200" fontId="6" fillId="4" borderId="0" xfId="0" applyNumberFormat="1" applyFont="1" applyFill="1" applyBorder="1" applyAlignment="1">
      <x:alignment horizontal="general" vertical="top" wrapText="1"/>
    </x:xf>
    <x:xf numFmtId="200" fontId="6" fillId="0" borderId="0" xfId="0" applyNumberFormat="1" applyFont="1" applyFill="1" applyBorder="1" applyAlignment="1">
      <x:alignment horizontal="general" vertical="top" wrapText="1"/>
    </x:xf>
  </x:cellXfs>
  <x:cellStyles count="2">
    <x:cellStyle name="표준" xfId="0"/>
    <x:cellStyle name="Normal" xfId="1"/>
  </x:cellStyles>
  <x:dxfs count="13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  <x:dxf>
      <x:fill>
        <x:patternFill patternType="solid">
          <x:bgColor rgb="fffff0c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7d89f74da4461e" /><Relationship Type="http://schemas.openxmlformats.org/officeDocument/2006/relationships/theme" Target="/xl/theme/theme1.xml" Id="R60abb54492db457b" /><Relationship Type="http://schemas.openxmlformats.org/officeDocument/2006/relationships/sharedStrings" Target="/xl/sharedStrings.xml" Id="R56d1dc45de624ff9" /><Relationship Type="http://schemas.openxmlformats.org/officeDocument/2006/relationships/worksheet" Target="/xl/worksheets/sheet1.xml" Id="R6f0d1ff4983a45ad" /><Relationship Type="http://schemas.openxmlformats.org/officeDocument/2006/relationships/worksheet" Target="/xl/worksheets/sheet2.xml" Id="Rd0357b158a2942f2" /><Relationship Type="http://schemas.openxmlformats.org/officeDocument/2006/relationships/worksheet" Target="/xl/worksheets/sheet3.xml" Id="R550ab6df899943b6" /><Relationship Type="http://schemas.openxmlformats.org/officeDocument/2006/relationships/worksheet" Target="/xl/worksheets/sheet4.xml" Id="Rfd13c05193a24d28" /><Relationship Type="http://schemas.openxmlformats.org/officeDocument/2006/relationships/worksheet" Target="/xl/worksheets/sheet5.xml" Id="R4df6a151814446cc" /></Relationships>
</file>

<file path=xl/tables/table1.xml><?xml version="1.0" encoding="utf-8"?>
<x:table xmlns:x="http://schemas.openxmlformats.org/spreadsheetml/2006/main" id="6" name="SimpleListings" displayName="SimpleListings" ref="A1:E36" headerRowCount="1" totalsRowCount="0" totalsRowShown="0">
  <x:tableColumns count="5">
    <x:tableColumn id="1" name="카테고리"/>
    <x:tableColumn id="2" name="상품명"/>
    <x:tableColumn id="3" name="설명"/>
    <x:tableColumn id="4" name="가격"/>
    <x:tableColumn id="5" name="거래위치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" displayName="T2" ref="A1:H36" totalsRowShown="0">
  <x:tableColumns count="8">
    <x:tableColumn id="1" name="ID"/>
    <x:tableColumn id="2" name="CPU"/>
    <x:tableColumn id="3" name="GPU"/>
    <x:tableColumn id="4" name="CPU점수_가상"/>
    <x:tableColumn id="5" name="GPU점수_가상"/>
    <x:tableColumn id="6" name="종합점수_가상"/>
    <x:tableColumn id="7" name="점수성격"/>
    <x:tableColumn id="8" name="산정상태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" displayName="T3" ref="A1:R36" totalsRowShown="0">
  <x:tableColumns count="18">
    <x:tableColumn id="1" name="ID"/>
    <x:tableColumn id="2" name="기대분류"/>
    <x:tableColumn id="3" name="과제 수행"/>
    <x:tableColumn id="4" name="Windows"/>
    <x:tableColumn id="5" name="삼성·LG"/>
    <x:tableColumn id="6" name="1.3kg 이하"/>
    <x:tableColumn id="7" name="50만원 이하"/>
    <x:tableColumn id="8" name="단순 디자인"/>
    <x:tableColumn id="9" name="양호한 외관"/>
    <x:tableColumn id="10" name="사용 3년 이하"/>
    <x:tableColumn id="11" name="거리 3km 이하"/>
    <x:tableColumn id="12" name="정상 기능·충전기"/>
    <x:tableColumn id="13" name="충족수"/>
    <x:tableColumn id="14" name="충족률"/>
    <x:tableColumn id="15" name="확인불가수"/>
    <x:tableColumn id="16" name="충족패턴"/>
    <x:tableColumn id="17" name="확인질문"/>
    <x:tableColumn id="18" name="분류해석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7" name="SimpleHobbies" displayName="SimpleHobbies" ref="A1:E6" headerRowCount="1" totalsRowCount="0" totalsRowShown="0">
  <x:tableColumns count="5">
    <x:tableColumn id="1" name="카테고리"/>
    <x:tableColumn id="2" name="상품명"/>
    <x:tableColumn id="3" name="설명"/>
    <x:tableColumn id="4" name="가격"/>
    <x:tableColumn id="5" name="거래위치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" displayName="T5" ref="A1:B23" totalsRowShown="0">
  <x:tableColumns count="2">
    <x:tableColumn id="1" name="항목"/>
    <x:tableColumn id="2" name="설명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de3ee0a4bc24ad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90072c303874ac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fdd7e6d570c40f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cf5876939a34e9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ca9998a7d201491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ColWidth="8.796875" defaultRowHeight="16.399999618530273"/>
  <x:cols>
    <x:col min="1" max="1" width="16.110000610351562" style="2" hidden="0" customWidth="1"/>
    <x:col min="2" max="2" width="32.220001220703125" style="2" hidden="0" customWidth="1"/>
    <x:col min="3" max="4" width="14" style="2" customWidth="1"/>
    <x:col min="5" max="5" width="23.329999923706055" style="2" hidden="0" customWidth="1"/>
    <x:col min="6" max="6" width="16" style="2" customWidth="1"/>
    <x:col min="7" max="7" width="25" style="2" customWidth="1"/>
    <x:col min="8" max="8" width="16" style="2" customWidth="1"/>
    <x:col min="9" max="9" width="36" style="2" customWidth="1"/>
    <x:col min="10" max="10" width="29" style="2" customWidth="1"/>
    <x:col min="11" max="11" width="32" style="2" customWidth="1"/>
    <x:col min="12" max="12" width="12" style="2" customWidth="1"/>
    <x:col min="13" max="13" width="22" style="2" customWidth="1"/>
    <x:col min="14" max="14" width="12" style="2" customWidth="1"/>
    <x:col min="15" max="15" width="21" style="2" customWidth="1"/>
    <x:col min="16" max="16" width="16" style="2" customWidth="1"/>
    <x:col min="17" max="17" width="25" style="2" customWidth="1"/>
    <x:col min="18" max="18" width="38" style="2" customWidth="1"/>
    <x:col min="19" max="20" width="45" style="2" customWidth="1"/>
    <x:col min="21" max="21" width="29" style="2" customWidth="1"/>
    <x:col min="22" max="22" width="35" style="2" customWidth="1"/>
    <x:col min="23" max="23" width="36" style="2" customWidth="1"/>
    <x:col min="24" max="24" width="100" style="2" customWidth="1"/>
    <x:col min="25" max="26" width="15" style="2" customWidth="1"/>
    <x:col min="27" max="27" width="17.19921875" style="2" customWidth="1"/>
    <x:col min="3" max="3" width="86.66999816894531" hidden="0" customWidth="1"/>
    <x:col min="4" max="4" width="12.779999732971191" hidden="0" customWidth="1"/>
  </x:cols>
  <x:sheetData>
    <x:row r="1" ht="25.5" customHeight="1">
      <x:c r="A1" s="13" t="str">
        <x:v>카테고리</x:v>
      </x:c>
      <x:c r="B1" s="13" t="str">
        <x:v>상품명</x:v>
      </x:c>
      <x:c r="C1" s="13" t="str">
        <x:v>설명</x:v>
      </x:c>
      <x:c r="D1" s="13" t="str">
        <x:v>가격</x:v>
      </x:c>
      <x:c r="E1" s="13" t="str">
        <x:v>거래위치</x:v>
      </x:c>
      <x:c r="F1"/>
      <x:c r="G1"/>
      <x:c r="H1"/>
      <x:c r="I1"/>
      <x:c r="J1"/>
      <x:c r="K1"/>
      <x:c r="L1"/>
      <x:c r="M1"/>
      <x:c r="N1"/>
      <x:c r="O1"/>
      <x:c r="P1"/>
      <x:c r="Q1"/>
      <x:c r="R1"/>
      <x:c r="S1"/>
      <x:c r="T1"/>
      <x:c r="U1"/>
      <x:c r="V1"/>
      <x:c r="W1"/>
      <x:c r="X1"/>
      <x:c r="Y1"/>
      <x:c r="Z1"/>
      <x:c r="AA1"/>
    </x:row>
    <x:row r="2" ht="208.5" customHeight="1">
      <x:c r="A2" s="14" t="str">
        <x:v>전자제품 / 노트북</x:v>
      </x:c>
      <x:c r="B2" s="14" t="str">
        <x:v>gram 깔끔한 디자인 판매 / 430,000원</x:v>
      </x:c>
      <x:c r="C2" s="14" t="str">
        <x:v>집에서 쓰던 제품 정리합니다.
LG 제품, Windows 11 Home. CPU Intel Core i5-1235U, 그래픽 Intel Iris Xe, RAM 16GB, 저장장치 SSD 512GB입니다.
14인치 / 1920×1200. 무게는 약 1.12kg입니다.
24개월 사용했습니다. 화이트 / 무늬 없는 디자인.
외관은 바닥면 작은 생활 흠집, 상판·모서리 찍힘 없음. 기능 상태는 판매자 설명상 화면·키보드·와이파이·충전 정상.
구성품: 본체·정품 충전기. 배터리: 88% (판매자 제공 용량 비율).
한글·Microsoft Office 이용권은 미포함입니다. 샘플동 도서관 앞에서 직거래합니다. 점검이나 추가 사진은 문의해주세요.
모델명(가상): DEMO_LG_NOTEBOOK_001
문서프로그램: 한글·MS Office 이용권 미포함</x:v>
      </x:c>
      <x:c r="D2" s="15" t="n">
        <x:v>430000</x:v>
      </x:c>
      <x:c r="E2" s="14" t="str">
        <x:v>샘플동 도서관 앞 / 거리 0.8km</x:v>
      </x:c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/>
      <x:c r="Y2"/>
      <x:c r="Z2"/>
      <x:c r="AA2"/>
    </x:row>
    <x:row r="3" ht="208.5" customHeight="1">
      <x:c r="A3" s="11" t="str">
        <x:v>전자제품 / 노트북</x:v>
      </x:c>
      <x:c r="B3" s="11" t="str">
        <x:v>ASUS 노트북 개성 있는 디자인 판매 / 280,000원</x:v>
      </x:c>
      <x:c r="C3" s="11" t="str">
        <x:v>졸업 후 사용 빈도가 줄어서 판매해요.
ASUS 제품, Windows 11 Home. CPU Intel Core i5-1135G7, 그래픽 Intel Iris Xe, RAM 16GB, 저장장치 SSD 512GB입니다.
15.6인치 / 1920×1080. 무게는 약 1.8kg입니다.
48개월 사용했습니다. 상판 대형 캐릭터 스티커 / 제거하지 않음.
외관은 상판 대형 스티커, 긴 흠집 2개, 오른쪽 모서리 찍힘. 기능 상태는 판매자 설명상 화면·키보드·와이파이·충전 정상.
구성품: 본체·정품 충전기. 배터리: 72% (판매자 제공 용량 비율).
한글·Microsoft Office 이용권은 미포함입니다. 샘플동 외곽역 앞에서 직거래합니다. 점검이나 추가 사진은 문의해주세요.
모델명(가상): DEMO_ASUS_NOTEBOOK_002
문서프로그램: 한글·MS Office 이용권 미포함</x:v>
      </x:c>
      <x:c r="D3" s="16" t="n">
        <x:v>280000</x:v>
      </x:c>
      <x:c r="E3" s="11" t="str">
        <x:v>샘플동 외곽역 앞 / 거리 1.5km</x:v>
      </x:c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  <x:c r="X3"/>
      <x:c r="Y3"/>
      <x:c r="Z3"/>
    </x:row>
    <x:row r="4" ht="178.5" customHeight="1">
      <x:c r="A4" s="14" t="str">
        <x:v>전자제품 / 노트북</x:v>
      </x:c>
      <x:c r="B4" s="14" t="str">
        <x:v>삼성 노트북 깔끔한 디자인 판매 / 380,000원</x:v>
      </x:c>
      <x:c r="C4" s="14" t="str">
        <x:v>서브 기기로 쓰다가 정리합니다.
삼성 제품, Windows 11 Home. CPU Intel Core i5 / 세대 미기재, 그래픽 미기재, RAM 미기재, 저장장치 SSD / 용량 미기재입니다.
14인치 / 1920×1080. 무게는 약 1.1kg입니다.
이전 소유자 포함 전체 사용기간은 모릅니다. 실버 / 단순 디자인.
외관은 상판 모서리에 눈에 띄는 찍힘 2곳. 기능 상태는 최근 작동 점검 안 함.
구성품: 본체만 / 충전기 없음. 배터리: 미확인.
한글·Microsoft Office 이용권은 미포함입니다. 샘플동 공원 앞에서 직거래합니다. 점검이나 추가 사진은 문의해주세요.
문서프로그램: 한글·MS Office 이용권 미포함</x:v>
      </x:c>
      <x:c r="D4" s="15" t="n">
        <x:v>380000</x:v>
      </x:c>
      <x:c r="E4" s="14" t="str">
        <x:v>샘플동 공원 앞 / 거리 7km</x:v>
      </x:c>
      <x:c r="F4"/>
      <x:c r="G4"/>
      <x:c r="H4"/>
      <x:c r="I4"/>
      <x:c r="J4"/>
      <x:c r="K4"/>
      <x:c r="L4"/>
      <x:c r="M4"/>
      <x:c r="N4"/>
      <x:c r="O4"/>
      <x:c r="P4"/>
      <x:c r="Q4"/>
      <x:c r="R4"/>
      <x:c r="S4"/>
      <x:c r="T4"/>
      <x:c r="U4"/>
      <x:c r="V4"/>
      <x:c r="W4"/>
      <x:c r="X4"/>
      <x:c r="Y4"/>
      <x:c r="Z4"/>
    </x:row>
    <x:row r="5" ht="208.5" customHeight="1">
      <x:c r="A5" s="11" t="str">
        <x:v>전자제품 / 노트북</x:v>
      </x:c>
      <x:c r="B5" s="11" t="str">
        <x:v>삼성 노트북 깔끔한 디자인 판매 / 490,000원</x:v>
      </x:c>
      <x:c r="C5" s="11" t="str">
        <x:v>이사 준비하면서 내놓습니다.
삼성 제품, Windows 11 Home. CPU Intel Core i5-1335U, 그래픽 Intel Iris Xe, RAM 16GB, 저장장치 SSD 512GB입니다.
15.6인치 / 1920×1080. 무게는 약 1.12kg입니다.
12개월 사용했습니다. 화이트 / 무늬 없는 디자인.
외관은 바닥면 작은 생활 흠집, 상판·모서리 찍힘 없음. 기능 상태는 판매자 설명상 화면·키보드·와이파이·충전 정상.
구성품: 본체·정품 충전기. 배터리: 76% (판매자 제공 용량 비율).
한글·Microsoft Office 이용권은 미포함입니다. 샘플동 주민센터 앞에서 직거래합니다. 점검이나 추가 사진은 문의해주세요.
모델명(가상): DEMO_삼성_NOTEBOOK_004
문서프로그램: 한글·MS Office 이용권 미포함</x:v>
      </x:c>
      <x:c r="D5" s="16" t="n">
        <x:v>490000</x:v>
      </x:c>
      <x:c r="E5" s="11" t="str">
        <x:v>샘플동 주민센터 앞 / 거리 1.2km</x:v>
      </x:c>
      <x:c r="F5"/>
      <x:c r="G5"/>
      <x:c r="H5"/>
      <x:c r="I5"/>
      <x:c r="J5"/>
      <x:c r="K5"/>
      <x:c r="L5"/>
      <x:c r="M5"/>
      <x:c r="N5"/>
      <x:c r="O5"/>
      <x:c r="P5"/>
      <x:c r="Q5"/>
      <x:c r="R5"/>
      <x:c r="S5"/>
      <x:c r="T5"/>
      <x:c r="U5"/>
      <x:c r="V5"/>
      <x:c r="W5"/>
      <x:c r="X5"/>
      <x:c r="Y5"/>
      <x:c r="Z5"/>
      <x:c r="AA5"/>
    </x:row>
    <x:row r="6" ht="208.5" customHeight="1">
      <x:c r="A6" s="14" t="str">
        <x:v>전자제품 / 노트북</x:v>
      </x:c>
      <x:c r="B6" s="14" t="str">
        <x:v>gram 깔끔한 디자인 판매 / 470,000원</x:v>
      </x:c>
      <x:c r="C6" s="14" t="str">
        <x:v>기기 교체하면서 판매합니다.
LG 제품, Windows 11 Home. CPU Intel Core i7-1260P, 그래픽 Intel Iris Xe, RAM 16GB, 저장장치 SSD 512GB입니다.
14인치 / 1920×1080. 무게는 약 1.19kg입니다.
18개월 사용했습니다. 실버 / 단순 디자인.
외관은 바닥면 작은 생활 흠집, 상판·모서리 찍힘 없음. 기능 상태는 판매자 설명상 화면·키보드·와이파이·충전 정상.
구성품: 본체·정품 충전기. 배터리: 88% (판매자 제공 용량 비율).
한글·Microsoft Office 이용권은 미포함입니다. 샘플동 중앙역 앞에서 직거래합니다. 점검이나 추가 사진은 문의해주세요.
모델명(가상): DEMO_LG_NOTEBOOK_005
문서프로그램: 한글·MS Office 이용권 미포함</x:v>
      </x:c>
      <x:c r="D6" s="15" t="n">
        <x:v>470000</x:v>
      </x:c>
      <x:c r="E6" s="14" t="str">
        <x:v>샘플동 중앙역 앞 / 거리 2.4km</x:v>
      </x:c>
      <x:c r="F6"/>
      <x:c r="G6"/>
      <x:c r="H6"/>
      <x:c r="I6"/>
      <x:c r="J6"/>
      <x:c r="K6"/>
      <x:c r="L6"/>
      <x:c r="M6"/>
      <x:c r="N6"/>
      <x:c r="O6"/>
      <x:c r="P6"/>
      <x:c r="Q6"/>
      <x:c r="R6"/>
      <x:c r="S6"/>
      <x:c r="T6"/>
      <x:c r="U6"/>
      <x:c r="V6"/>
      <x:c r="W6"/>
      <x:c r="X6"/>
      <x:c r="Y6"/>
      <x:c r="Z6"/>
      <x:c r="AA6"/>
    </x:row>
    <x:row r="7" ht="193.5" customHeight="1">
      <x:c r="A7" s="11" t="str">
        <x:v>전자제품 / 노트북</x:v>
      </x:c>
      <x:c r="B7" s="11" t="str">
        <x:v>삼성 노트북 깔끔한 디자인 판매 / 890,000원</x:v>
      </x:c>
      <x:c r="C7" s="11" t="str">
        <x:v>집에서 쓰던 제품 정리합니다.
삼성 제품, Windows 11 Home. CPU Intel Core i5-1135G7, 그래픽 Intel Iris Xe, RAM 16GB, 저장장치 SSD 512GB입니다.
15.6인치 / 1920×1080. 무게는 약 1.25kg입니다.
60개월 사용했습니다. 화이트 / 무늬 없는 디자인.
외관은 상판 긴 흠집 2개와 모서리 찍힘. 기능 상태는 키보드 일부 키 입력 불량.
구성품: 본체·충전기. 배터리: 72% (판매자 제공 용량 비율).
한글·Microsoft Office 이용권은 미포함입니다. 샘플동 도서관 앞에서 직거래합니다. 점검이나 추가 사진은 문의해주세요.
모델명(가상): DEMO_삼성_NOTEBOOK_006
문서프로그램: 한글·MS Office 이용권 미포함</x:v>
      </x:c>
      <x:c r="D7" s="16" t="n">
        <x:v>890000</x:v>
      </x:c>
      <x:c r="E7" s="11" t="str">
        <x:v>샘플동 도서관 앞 / 거리 9.2km</x:v>
      </x:c>
      <x:c r="F7"/>
      <x:c r="G7"/>
      <x:c r="H7"/>
      <x:c r="I7"/>
      <x:c r="J7"/>
      <x:c r="K7"/>
      <x:c r="L7"/>
      <x:c r="M7"/>
      <x:c r="N7"/>
      <x:c r="O7"/>
      <x:c r="P7"/>
      <x:c r="Q7"/>
      <x:c r="R7"/>
      <x:c r="S7"/>
      <x:c r="T7"/>
      <x:c r="U7"/>
      <x:c r="V7"/>
      <x:c r="W7"/>
      <x:c r="X7"/>
      <x:c r="Y7"/>
      <x:c r="Z7"/>
      <x:c r="AA7"/>
    </x:row>
    <x:row r="8" ht="193.5" customHeight="1">
      <x:c r="A8" s="14" t="str">
        <x:v>전자제품 / 노트북</x:v>
      </x:c>
      <x:c r="B8" s="14" t="str">
        <x:v>gram 개성 있는 디자인 판매 / 380,000원</x:v>
      </x:c>
      <x:c r="C8" s="14" t="str">
        <x:v>졸업 후 사용 빈도가 줄어서 판매해요.
LG 제품, Ubuntu Linux. CPU Intel Core i5-1335U, 그래픽 Intel Iris Xe, RAM 16GB, 저장장치 SSD 512GB입니다.
14인치 / 1920×1080. 무게는 약 2.4kg입니다.
30개월 사용했습니다. 상판 대형 캐릭터 스티커 / 제거하지 않음.
외관은 바닥면 작은 생활 흠집, 상판·모서리 찍힘 없음. 기능 상태는 판매자 설명상 정상, 충전기 누락.
구성품: 본체만. 배터리: 81% (판매자 제공 용량 비율).
한글·Microsoft Office 이용권은 미포함입니다. 샘플동 외곽역 앞에서 직거래합니다. 점검이나 추가 사진은 문의해주세요.
모델명(가상): DEMO_LG_NOTEBOOK_007
문서프로그램: 한글·MS Office 이용권 미포함</x:v>
      </x:c>
      <x:c r="D8" s="15" t="n">
        <x:v>380000</x:v>
      </x:c>
      <x:c r="E8" s="14" t="str">
        <x:v>샘플동 외곽역 앞 / 거리 12km</x:v>
      </x:c>
      <x:c r="F8"/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/>
      <x:c r="Y8"/>
      <x:c r="Z8"/>
      <x:c r="AA8"/>
    </x:row>
    <x:row r="9" ht="208.5" customHeight="1">
      <x:c r="A9" s="11" t="str">
        <x:v>전자제품 / 노트북</x:v>
      </x:c>
      <x:c r="B9" s="11" t="str">
        <x:v>ASUS 노트북 개성 있는 디자인 판매 / 460,000원</x:v>
      </x:c>
      <x:c r="C9" s="11" t="str">
        <x:v>서브 기기로 쓰다가 정리합니다.
ASUS 제품, Windows 11 Home. CPU Intel Celeron N4020, 그래픽 Intel UHD 600, RAM 4GB, 저장장치 eMMC 64GB입니다.
15.6인치 / 1920×1080. 무게는 약 1.12kg입니다.
12개월 사용했습니다. 상판 대형 캐릭터 스티커 / 제거하지 않음.
외관은 모서리 찍힘 2곳, 손목받침 변색. 기능 상태는 키보드 일부 키 입력 불량.
구성품: 본체·충전기. 배터리: 90% (판매자 제공 용량 비율).
한글·Microsoft Office 이용권은 미포함입니다. 샘플동 공원 앞에서 직거래합니다. 점검이나 추가 사진은 문의해주세요.
기본적인 간단 작업 위주로 사용했고 여러 문서를 동시에 열면 느릴 수 있습니다.
모델명(가상): DEMO_ASUS_NOTEBOOK_008
문서프로그램: 한글·MS Office 이용권 미포함</x:v>
      </x:c>
      <x:c r="D9" s="16" t="n">
        <x:v>460000</x:v>
      </x:c>
      <x:c r="E9" s="11" t="str">
        <x:v>샘플동 공원 앞 / 거리 0.8km</x:v>
      </x:c>
      <x:c r="F9"/>
      <x:c r="G9"/>
      <x:c r="H9"/>
      <x:c r="I9"/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  <x:c r="X9"/>
      <x:c r="Y9"/>
      <x:c r="Z9"/>
      <x:c r="AA9"/>
    </x:row>
    <x:row r="10" ht="208.5" customHeight="1">
      <x:c r="A10" s="14" t="str">
        <x:v>전자제품 / 노트북</x:v>
      </x:c>
      <x:c r="B10" s="14" t="str">
        <x:v>Lenovo 노트북 깔끔한 디자인 판매 / 750,000원</x:v>
      </x:c>
      <x:c r="C10" s="14" t="str">
        <x:v>이사 준비하면서 내놓습니다.
Lenovo 제품, Windows 11 Home. CPU Intel Core i7-1260P, 그래픽 Intel Iris Xe, RAM 16GB, 저장장치 SSD 512GB입니다.
14인치 / 1920×1080. 무게는 약 1.8kg입니다.
54개월 사용했습니다. 실버 / 단순 디자인.
외관은 바닥면 작은 생활 흠집, 상판·모서리 찍힘 없음. 기능 상태는 판매자 설명상 화면·키보드·와이파이·충전 정상.
구성품: 본체·정품 충전기. 배터리: 76% (판매자 제공 용량 비율).
한글·Microsoft Office 이용권은 미포함입니다. 샘플동 주민센터 앞에서 직거래합니다. 점검이나 추가 사진은 문의해주세요.
모델명(가상): DEMO_LENOVO_NOTEBOOK_009
문서프로그램: 한글·MS Office 이용권 미포함</x:v>
      </x:c>
      <x:c r="D10" s="15" t="n">
        <x:v>750000</x:v>
      </x:c>
      <x:c r="E10" s="14" t="str">
        <x:v>샘플동 주민센터 앞 / 거리 7km</x:v>
      </x:c>
      <x:c r="F10"/>
      <x:c r="G10"/>
      <x:c r="H10"/>
      <x:c r="I10"/>
      <x:c r="J10"/>
      <x:c r="K10"/>
      <x:c r="L10"/>
      <x:c r="M10"/>
      <x:c r="N10"/>
      <x:c r="O10"/>
      <x:c r="P10"/>
      <x:c r="Q10"/>
      <x:c r="R10"/>
      <x:c r="S10"/>
      <x:c r="T10"/>
      <x:c r="U10"/>
      <x:c r="V10"/>
      <x:c r="W10"/>
      <x:c r="X10"/>
      <x:c r="Y10"/>
      <x:c r="Z10"/>
      <x:c r="AA10"/>
    </x:row>
    <x:row r="11" ht="208.5" customHeight="1">
      <x:c r="A11" s="11" t="str">
        <x:v>전자제품 / 노트북</x:v>
      </x:c>
      <x:c r="B11" s="11" t="str">
        <x:v>삼성 노트북 깔끔한 디자인 판매 / 890,000원</x:v>
      </x:c>
      <x:c r="C11" s="11" t="str">
        <x:v>기기 교체하면서 판매합니다.
삼성 제품, Ubuntu Linux. CPU Intel Celeron N4020, 그래픽 Intel UHD 600, RAM 4GB, 저장장치 eMMC 64GB입니다.
15.6인치 / 1920×1080. 무게는 약 1.25kg입니다.
24개월 사용했습니다. 화이트 / 무늬 없는 디자인.
외관은 하판 도색 벗겨짐과 상판 깊은 긁힘. 기능 상태는 판매자 설명상 화면·키보드·와이파이·충전 정상.
구성품: 본체·정품 충전기. 배터리: 88% (판매자 제공 용량 비율).
한글·Microsoft Office 이용권은 미포함입니다. 샘플동 중앙역 앞에서 직거래합니다. 점검이나 추가 사진은 문의해주세요.
기본적인 간단 작업 위주로 사용했고 여러 문서를 동시에 열면 느릴 수 있습니다.
모델명(가상): DEMO_삼성_NOTEBOOK_010
문서프로그램: 한글·MS Office 이용권 미포함</x:v>
      </x:c>
      <x:c r="D11" s="16" t="n">
        <x:v>890000</x:v>
      </x:c>
      <x:c r="E11" s="11" t="str">
        <x:v>샘플동 중앙역 앞 / 거리 9.2km</x:v>
      </x:c>
      <x:c r="F11"/>
      <x:c r="G11"/>
      <x:c r="H11"/>
      <x:c r="I11"/>
      <x:c r="J11"/>
      <x:c r="K11"/>
      <x:c r="L11"/>
      <x:c r="M11"/>
      <x:c r="N11"/>
      <x:c r="O11"/>
      <x:c r="P11"/>
      <x:c r="Q11"/>
      <x:c r="R11"/>
      <x:c r="S11"/>
      <x:c r="T11"/>
      <x:c r="U11"/>
      <x:c r="V11"/>
      <x:c r="W11"/>
      <x:c r="X11"/>
      <x:c r="Y11"/>
      <x:c r="Z11"/>
      <x:c r="AA11"/>
    </x:row>
    <x:row r="12" ht="193.5" customHeight="1">
      <x:c r="A12" s="14" t="str">
        <x:v>전자제품 / 노트북</x:v>
      </x:c>
      <x:c r="B12" s="14" t="str">
        <x:v>gram 개성 있는 디자인 판매 / 280,000원</x:v>
      </x:c>
      <x:c r="C12" s="14" t="str">
        <x:v>집에서 쓰던 제품 정리합니다.
LG 제품, Windows 11 Home. CPU Intel Core i5-1135G7, 그래픽 Intel Iris Xe, RAM 16GB, 저장장치 SSD 512GB입니다.
14인치 / 1920×1080. 무게는 따로 확인하지 않았습니다.
72개월 사용했습니다. 상판 대형 캐릭터 스티커 / 제거하지 않음.
외관은 근접 사진과 외관 설명 없음. 기능 상태는 최근 작동 점검 안 함.
구성품: 포함 여부 미기재. 배터리: 미확인.
한글·Microsoft Office 이용권은 미포함입니다. 샘플동 도서관 앞에서 직거래합니다. 점검이나 추가 사진은 문의해주세요.
모델명(가상): DEMO_LG_NOTEBOOK_011
문서프로그램: 한글·MS Office 이용권 미포함</x:v>
      </x:c>
      <x:c r="D12" s="15" t="n">
        <x:v>280000</x:v>
      </x:c>
      <x:c r="E12" s="14" t="str">
        <x:v>샘플동 도서관 앞 / 거리 2.7km</x:v>
      </x:c>
      <x:c r="F12"/>
      <x:c r="G12"/>
      <x:c r="H12"/>
      <x:c r="I12"/>
      <x:c r="J12"/>
      <x:c r="K12"/>
      <x:c r="L12"/>
      <x:c r="M12"/>
      <x:c r="N12"/>
      <x:c r="O12"/>
      <x:c r="P12"/>
      <x:c r="Q12"/>
      <x:c r="R12"/>
      <x:c r="S12"/>
      <x:c r="T12"/>
      <x:c r="U12"/>
      <x:c r="V12"/>
      <x:c r="W12"/>
      <x:c r="X12"/>
      <x:c r="Y12"/>
      <x:c r="Z12"/>
    </x:row>
    <x:row r="13" ht="178.5" customHeight="1">
      <x:c r="A13" s="11" t="str">
        <x:v>전자제품 / 노트북</x:v>
      </x:c>
      <x:c r="B13" s="11" t="str">
        <x:v>브랜드 확인 전 가벼운 노트북 판매</x:v>
      </x:c>
      <x:c r="C13" s="11" t="str">
        <x:v>졸업 후 사용 빈도가 줄어서 판매해요.
미기재 제품, Windows 11 Home. CPU Intel Core i5-1335U, 그래픽 Intel Iris Xe, RAM 16GB, 저장장치 SSD 512GB입니다.
15.6인치 / 1920×1080. 무게는 약 1.12kg입니다.
12개월 사용했습니다. 화이트 / 무늬 없는 디자인.
외관은 상판 긴 흠집 2개와 모서리 찍힘. 기능 상태는 최근 작동 점검 안 함.
구성품: 포함 여부 미기재. 배터리: 미확인.
한글·Microsoft Office 이용권은 미포함입니다. 샘플동 외곽역 앞에서 직거래합니다. 점검이나 추가 사진은 문의해주세요.
문서프로그램: 한글·MS Office 이용권 미포함</x:v>
      </x:c>
      <x:c r="D13" s="16" t="n">
        <x:v>620000</x:v>
      </x:c>
      <x:c r="E13" s="11" t="str">
        <x:v>샘플동 외곽역 앞 / 거리 5.5km</x:v>
      </x:c>
      <x:c r="F13"/>
      <x:c r="G13"/>
      <x:c r="H13"/>
      <x:c r="I13"/>
      <x:c r="J13"/>
      <x:c r="K13"/>
      <x:c r="L13"/>
      <x:c r="M13"/>
      <x:c r="N13"/>
      <x:c r="O13"/>
      <x:c r="P13"/>
      <x:c r="Q13"/>
      <x:c r="R13"/>
      <x:c r="S13"/>
      <x:c r="T13"/>
      <x:c r="U13"/>
      <x:c r="V13"/>
      <x:c r="W13"/>
      <x:c r="X13"/>
      <x:c r="Y13"/>
      <x:c r="Z13"/>
    </x:row>
    <x:row r="14" ht="178.5" customHeight="1">
      <x:c r="A14" s="14" t="str">
        <x:v>전자제품 / 노트북</x:v>
      </x:c>
      <x:c r="B14" s="14" t="str">
        <x:v>gram 개성 있는 디자인 판매 / 460,000원</x:v>
      </x:c>
      <x:c r="C14" s="14" t="str">
        <x:v>서브 기기로 쓰다가 정리합니다.
LG 제품, Windows 11 Home. CPU Intel Core i5 / 세대 미기재, 그래픽 미기재, RAM 미기재, 저장장치 SSD / 용량 미기재입니다.
14인치 / 1920×1080. 무게는 약 1.8kg입니다.
이전 소유자 포함 전체 사용기간은 모릅니다. 상판 대형 캐릭터 스티커 / 제거하지 않음.
외관은 바닥면 작은 생활 흠집, 상판·모서리 찍힘 없음. 기능 상태는 판매자 설명상 정상, 충전기 누락.
구성품: 본체만. 배터리: 90% (판매자 제공 용량 비율).
한글·Microsoft Office 이용권은 미포함입니다. 샘플동 공원 앞에서 직거래합니다. 점검이나 추가 사진은 문의해주세요.
문서프로그램: 한글·MS Office 이용권 미포함</x:v>
      </x:c>
      <x:c r="D14" s="15" t="n">
        <x:v>460000</x:v>
      </x:c>
      <x:c r="E14" s="14" t="str">
        <x:v>샘플동 공원 앞 / 거리 1.5km</x:v>
      </x:c>
      <x:c r="F14"/>
      <x:c r="G14"/>
      <x:c r="H14"/>
      <x:c r="I14"/>
      <x:c r="J14"/>
      <x:c r="K14"/>
      <x:c r="L14"/>
      <x:c r="M14"/>
      <x:c r="N14"/>
      <x:c r="O14"/>
      <x:c r="P14"/>
      <x:c r="Q14"/>
      <x:c r="R14"/>
      <x:c r="S14"/>
      <x:c r="T14"/>
      <x:c r="U14"/>
      <x:c r="V14"/>
      <x:c r="W14"/>
      <x:c r="X14"/>
      <x:c r="Y14"/>
      <x:c r="Z14"/>
    </x:row>
    <x:row r="15" ht="193.5" customHeight="1">
      <x:c r="A15" s="11" t="str">
        <x:v>전자제품 / 노트북</x:v>
      </x:c>
      <x:c r="B15" s="11" t="str">
        <x:v>삼성 노트북 개성 있는 디자인 판매 / 320,000원</x:v>
      </x:c>
      <x:c r="C15" s="11" t="str">
        <x:v>이사 준비하면서 내놓습니다.
삼성 제품, 미확인. CPU Intel Core i7-1260P, 그래픽 Intel Iris Xe, RAM 16GB, 저장장치 SSD 512GB입니다.
15.6인치 / 1920×1080. 무게는 약 1.25kg입니다.
60개월 사용했습니다. 상판 대형 캐릭터 스티커 / 제거하지 않음.
외관은 근접 사진과 외관 설명 없음. 기능 상태는 판매자 설명상 화면·키보드·와이파이·충전 정상.
구성품: 본체·정품 충전기. 배터리: 76% (판매자 제공 용량 비율).
한글·Microsoft Office 이용권은 미포함입니다. 샘플동 주민센터 앞에서 직거래합니다. 점검이나 추가 사진은 문의해주세요.
모델명(가상): DEMO_삼성_NOTEBOOK_014
문서프로그램: 한글·MS Office 이용권 미포함</x:v>
      </x:c>
      <x:c r="D15" s="16" t="n">
        <x:v>320000</x:v>
      </x:c>
      <x:c r="E15" s="11" t="str">
        <x:v>샘플동 주민센터 앞 / 거리 9.2km</x:v>
      </x:c>
      <x:c r="F15"/>
      <x:c r="G15"/>
      <x:c r="H15"/>
      <x:c r="I15"/>
      <x:c r="J15"/>
      <x:c r="K15"/>
      <x:c r="L15"/>
      <x:c r="M15"/>
      <x:c r="N15"/>
      <x:c r="O15"/>
      <x:c r="P15"/>
      <x:c r="Q15"/>
      <x:c r="R15"/>
      <x:c r="S15"/>
      <x:c r="T15"/>
      <x:c r="U15"/>
      <x:c r="V15"/>
      <x:c r="W15"/>
      <x:c r="X15"/>
      <x:c r="Y15"/>
      <x:c r="Z15"/>
    </x:row>
    <x:row r="16" ht="193.5" customHeight="1">
      <x:c r="A16" s="14" t="str">
        <x:v>전자제품 / 노트북</x:v>
      </x:c>
      <x:c r="B16" s="14" t="str">
        <x:v>HP 노트북 깔끔한 디자인 판매 / 1,100,000원</x:v>
      </x:c>
      <x:c r="C16" s="14" t="str">
        <x:v>기기 교체하면서 판매합니다.
HP 제품, Windows 11 Home. CPU Intel Core i5-1235U, 그래픽 Intel Iris Xe, RAM 16GB, 저장장치 SSD 512GB입니다.
14인치 / 1920×1080. 무게는 따로 확인하지 않았습니다.
30개월 사용했습니다. 실버 / 단순 디자인.
외관은 근접 사진과 외관 설명 없음. 기능 상태는 판매자 설명상 화면·키보드·와이파이·충전 정상.
구성품: 본체·정품 충전기. 배터리: 88% (판매자 제공 용량 비율).
한글·Microsoft Office 이용권은 미포함입니다. 샘플동 중앙역 앞에서 직거래합니다. 점검이나 추가 사진은 문의해주세요.
모델명(가상): DEMO_HP_NOTEBOOK_015
문서프로그램: 한글·MS Office 이용권 미포함</x:v>
      </x:c>
      <x:c r="D16" s="15" t="n">
        <x:v>1100000</x:v>
      </x:c>
      <x:c r="E16" s="14" t="str">
        <x:v>샘플동 중앙역 앞 / 거리 12km</x:v>
      </x:c>
      <x:c r="F16"/>
      <x:c r="G16"/>
      <x:c r="H16"/>
      <x:c r="I16"/>
      <x:c r="J16"/>
      <x:c r="K16"/>
      <x:c r="L16"/>
      <x:c r="M16"/>
      <x:c r="N16"/>
      <x:c r="O16"/>
      <x:c r="P16"/>
      <x:c r="Q16"/>
      <x:c r="R16"/>
      <x:c r="S16"/>
      <x:c r="T16"/>
      <x:c r="U16"/>
      <x:c r="V16"/>
      <x:c r="W16"/>
      <x:c r="X16"/>
      <x:c r="Y16"/>
      <x:c r="Z16"/>
    </x:row>
    <x:row r="17" ht="178.5" customHeight="1">
      <x:c r="A17" s="11" t="str">
        <x:v>전자제품 / 노트북</x:v>
      </x:c>
      <x:c r="B17" s="11" t="str">
        <x:v>ASUS 노트북 개성 있는 디자인 판매 / 280,000원</x:v>
      </x:c>
      <x:c r="C17" s="11" t="str">
        <x:v>집에서 쓰던 제품 정리합니다.
ASUS 제품, Windows 11 Home. CPU Intel Core i5 / 세대 미기재, 그래픽 미기재, RAM 미기재, 저장장치 SSD / 용량 미기재입니다.
15.6인치 / 1920×1080. 무게는 약 1.12kg입니다.
12개월 사용했습니다. 상판 대형 캐릭터 스티커 / 제거하지 않음.
외관은 바닥면 작은 생활 흠집, 상판·모서리 찍힘 없음. 기능 상태는 최근 작동 점검 안 함.
구성품: 포함 여부 미기재. 배터리: 미확인.
한글·Microsoft Office 이용권은 미포함입니다. 샘플동 도서관 앞에서 직거래합니다. 점검이나 추가 사진은 문의해주세요.
문서프로그램: 한글·MS Office 이용권 미포함</x:v>
      </x:c>
      <x:c r="D17" s="16" t="n">
        <x:v>280000</x:v>
      </x:c>
      <x:c r="E17" s="11" t="str">
        <x:v>샘플동 도서관 앞 / 거리 5.5km</x:v>
      </x:c>
      <x:c r="F17"/>
      <x:c r="G17"/>
      <x:c r="H17"/>
      <x:c r="I17"/>
      <x:c r="J17"/>
      <x:c r="K17"/>
      <x:c r="L17"/>
      <x:c r="M17"/>
      <x:c r="N17"/>
      <x:c r="O17"/>
      <x:c r="P17"/>
      <x:c r="Q17"/>
      <x:c r="R17"/>
      <x:c r="S17"/>
      <x:c r="T17"/>
      <x:c r="U17"/>
      <x:c r="V17"/>
      <x:c r="W17"/>
      <x:c r="X17"/>
      <x:c r="Y17"/>
      <x:c r="Z17"/>
    </x:row>
    <x:row r="18" ht="193.5" customHeight="1">
      <x:c r="A18" s="14" t="str">
        <x:v>전자제품 / 노트북</x:v>
      </x:c>
      <x:c r="B18" s="14" t="str">
        <x:v>gram 깔끔한 디자인 판매 / 750,000원</x:v>
      </x:c>
      <x:c r="C18" s="14" t="str">
        <x:v>졸업 후 사용 빈도가 줄어서 판매해요.
LG 제품, Ubuntu Linux. CPU Intel Core i5-1335U, 그래픽 Intel Iris Xe, RAM 16GB, 저장장치 SSD 512GB입니다.
14인치 / 1920×1080. 무게는 따로 확인하지 않았습니다.
이전 소유자 포함 전체 사용기간은 모릅니다. 실버 / 단순 디자인.
외관은 모서리 찍힘 2곳, 손목받침 변색. 기능 상태는 판매자 설명상 화면·키보드·와이파이·충전 정상.
구성품: 본체·정품 충전기. 배터리: 81% (판매자 제공 용량 비율).
한글·Microsoft Office 이용권은 미포함입니다. 샘플동 외곽역 앞에서 직거래합니다. 점검이나 추가 사진은 문의해주세요.
모델명(가상): DEMO_LG_NOTEBOOK_017
문서프로그램: 한글·MS Office 이용권 미포함</x:v>
      </x:c>
      <x:c r="D18" s="15" t="n">
        <x:v>750000</x:v>
      </x:c>
      <x:c r="E18" s="14" t="str">
        <x:v>샘플동 외곽역 앞 / 거리 1.5km</x:v>
      </x:c>
      <x:c r="F18"/>
      <x:c r="G18"/>
      <x:c r="H18"/>
      <x:c r="I18"/>
      <x:c r="J18"/>
      <x:c r="K18"/>
      <x:c r="L18"/>
      <x:c r="M18"/>
      <x:c r="N18"/>
      <x:c r="O18"/>
      <x:c r="P18"/>
      <x:c r="Q18"/>
      <x:c r="R18"/>
      <x:c r="S18"/>
      <x:c r="T18"/>
      <x:c r="U18"/>
      <x:c r="V18"/>
      <x:c r="W18"/>
      <x:c r="X18"/>
      <x:c r="Y18"/>
      <x:c r="Z18"/>
    </x:row>
    <x:row r="19" ht="208.5" customHeight="1">
      <x:c r="A19" s="11" t="str">
        <x:v>전자제품 / 노트북</x:v>
      </x:c>
      <x:c r="B19" s="11" t="str">
        <x:v>삼성 노트북 개성 있는 디자인 판매 / 460,000원</x:v>
      </x:c>
      <x:c r="C19" s="11" t="str">
        <x:v>서브 기기로 쓰다가 정리합니다.
삼성 제품, Windows 11 Home. CPU Intel Celeron N4020, 그래픽 Intel UHD 600, RAM 4GB, 저장장치 eMMC 64GB입니다.
15.6인치 / 1920×1080. 무게는 약 2.2kg입니다.
60개월 사용했습니다. 상판 대형 캐릭터 스티커 / 제거하지 않음.
외관은 상판 긴 흠집 2개와 모서리 찍힘. 기능 상태는 키보드 일부 키 입력 불량.
구성품: 본체·충전기. 배터리: 90% (판매자 제공 용량 비율).
한글·Microsoft Office 이용권은 미포함입니다. 샘플동 공원 앞에서 직거래합니다. 점검이나 추가 사진은 문의해주세요.
기본적인 간단 작업 위주로 사용했고 여러 문서를 동시에 열면 느릴 수 있습니다.
모델명(가상): DEMO_삼성_NOTEBOOK_018
문서프로그램: 한글·MS Office 이용권 미포함</x:v>
      </x:c>
      <x:c r="D19" s="16" t="n">
        <x:v>460000</x:v>
      </x:c>
      <x:c r="E19" s="11" t="str">
        <x:v>샘플동 공원 앞 / 거리 9.2km</x:v>
      </x:c>
      <x:c r="F19"/>
      <x:c r="G19"/>
      <x:c r="H19"/>
      <x:c r="I19"/>
      <x:c r="J19"/>
      <x:c r="K19"/>
      <x:c r="L19"/>
      <x:c r="M19"/>
      <x:c r="N19"/>
      <x:c r="O19"/>
      <x:c r="P19"/>
      <x:c r="Q19"/>
      <x:c r="R19"/>
      <x:c r="S19"/>
      <x:c r="T19"/>
      <x:c r="U19"/>
      <x:c r="V19"/>
      <x:c r="W19"/>
      <x:c r="X19"/>
      <x:c r="Y19"/>
      <x:c r="Z19"/>
    </x:row>
    <x:row r="20" ht="193.5" customHeight="1">
      <x:c r="A20" s="14" t="str">
        <x:v>전자제품 / 노트북</x:v>
      </x:c>
      <x:c r="B20" s="14" t="str">
        <x:v>HP 노트북 개성 있는 디자인 판매 / 1,100,000원</x:v>
      </x:c>
      <x:c r="C20" s="14" t="str">
        <x:v>이사 준비하면서 내놓습니다.
HP 제품, Windows 11 Home. CPU Intel Core i7-1260P, 그래픽 Intel Iris Xe, RAM 16GB, 저장장치 SSD 512GB입니다.
14인치 / 1920×1080. 무게는 약 2.4kg입니다.
72개월 사용했습니다. 상판 대형 캐릭터 스티커 / 제거하지 않음.
외관은 하판 도색 벗겨짐과 상판 깊은 긁힘. 기능 상태는 판매자 설명상 화면·키보드·와이파이·충전 정상.
구성품: 본체·정품 충전기. 배터리: 76% (판매자 제공 용량 비율).
한글·Microsoft Office 이용권은 미포함입니다. 샘플동 주민센터 앞에서 직거래합니다. 점검이나 추가 사진은 문의해주세요.
모델명(가상): DEMO_HP_NOTEBOOK_019
문서프로그램: 한글·MS Office 이용권 미포함</x:v>
      </x:c>
      <x:c r="D20" s="15" t="n">
        <x:v>1100000</x:v>
      </x:c>
      <x:c r="E20" s="14" t="str">
        <x:v>샘플동 주민센터 앞 / 거리 12km</x:v>
      </x:c>
      <x:c r="F20"/>
      <x:c r="G20"/>
      <x:c r="H20"/>
      <x:c r="I20"/>
      <x:c r="J20"/>
      <x:c r="K20"/>
      <x:c r="L20"/>
      <x:c r="M20"/>
      <x:c r="N20"/>
      <x:c r="O20"/>
      <x:c r="P20"/>
      <x:c r="Q20"/>
      <x:c r="R20"/>
      <x:c r="S20"/>
      <x:c r="T20"/>
      <x:c r="U20"/>
      <x:c r="V20"/>
      <x:c r="W20"/>
      <x:c r="X20"/>
      <x:c r="Y20"/>
      <x:c r="Z20"/>
    </x:row>
    <x:row r="21" ht="208.5" customHeight="1">
      <x:c r="A21" s="11" t="str">
        <x:v>전자제품 / 노트북</x:v>
      </x:c>
      <x:c r="B21" s="11" t="str">
        <x:v>삼성 노트북 깔끔한 디자인 판매 / 620,000원</x:v>
      </x:c>
      <x:c r="C21" s="11" t="str">
        <x:v>기기 교체하면서 판매합니다.
삼성 제품, Ubuntu Linux. CPU Intel Celeron N4020, 그래픽 Intel UHD 600, RAM 4GB, 저장장치 eMMC 64GB입니다.
15.6인치 / 1920×1080. 무게는 약 1.12kg입니다.
48개월 사용했습니다. 화이트 / 무늬 없는 디자인.
외관은 모서리 찍힘 2곳, 손목받침 변색. 기능 상태는 키보드 일부 키 입력 불량.
구성품: 본체·충전기. 배터리: 88% (판매자 제공 용량 비율).
한글·Microsoft Office 이용권은 미포함입니다. 샘플동 중앙역 앞에서 직거래합니다. 점검이나 추가 사진은 문의해주세요.
기본적인 간단 작업 위주로 사용했고 여러 문서를 동시에 열면 느릴 수 있습니다.
모델명(가상): DEMO_삼성_NOTEBOOK_020
문서프로그램: 한글·MS Office 이용권 미포함</x:v>
      </x:c>
      <x:c r="D21" s="16" t="n">
        <x:v>620000</x:v>
      </x:c>
      <x:c r="E21" s="11" t="str">
        <x:v>샘플동 중앙역 앞 / 거리 5.5km</x:v>
      </x:c>
      <x:c r="F21"/>
      <x:c r="G21"/>
      <x:c r="H21"/>
      <x:c r="I21"/>
      <x:c r="J21"/>
      <x:c r="K21"/>
      <x:c r="L21"/>
      <x:c r="M21"/>
      <x:c r="N21"/>
      <x:c r="O21"/>
      <x:c r="P21"/>
      <x:c r="Q21"/>
      <x:c r="R21"/>
      <x:c r="S21"/>
      <x:c r="T21"/>
      <x:c r="U21"/>
      <x:c r="V21"/>
      <x:c r="W21"/>
      <x:c r="X21"/>
      <x:c r="Y21"/>
      <x:c r="Z21"/>
    </x:row>
    <x:row r="22" ht="208.5" customHeight="1">
      <x:c r="A22" s="14" t="str">
        <x:v>전자제품 / 노트북</x:v>
      </x:c>
      <x:c r="B22" s="14" t="str">
        <x:v>Lenovo 노트북 개성 있는 디자인 판매 / 280,000원</x:v>
      </x:c>
      <x:c r="C22" s="14" t="str">
        <x:v>집에서 쓰던 제품 정리합니다.
Lenovo 제품, Ubuntu Linux. CPU Intel Celeron N4020, 그래픽 Intel UHD 600, RAM 4GB, 저장장치 eMMC 64GB입니다.
14인치 / 1920×1080. 무게는 약 1.8kg입니다.
54개월 사용했습니다. 상판 대형 캐릭터 스티커 / 제거하지 않음.
외관은 바닥면 작은 생활 흠집, 상판·모서리 찍힘 없음. 기능 상태는 판매자 설명상 정상, 충전기 누락.
구성품: 본체만. 배터리: 72% (판매자 제공 용량 비율).
한글·Microsoft Office 이용권은 미포함입니다. 샘플동 도서관 앞에서 직거래합니다. 점검이나 추가 사진은 문의해주세요.
기본적인 간단 작업 위주로 사용했고 여러 문서를 동시에 열면 느릴 수 있습니다.
모델명(가상): DEMO_LENOVO_NOTEBOOK_021
문서프로그램: 한글·MS Office 이용권 미포함</x:v>
      </x:c>
      <x:c r="D22" s="15" t="n">
        <x:v>280000</x:v>
      </x:c>
      <x:c r="E22" s="14" t="str">
        <x:v>샘플동 도서관 앞 / 거리 1.5km</x:v>
      </x:c>
      <x:c r="F22"/>
      <x:c r="G22"/>
      <x:c r="H22"/>
      <x:c r="I22"/>
      <x:c r="J22"/>
      <x:c r="K22"/>
      <x:c r="L22"/>
      <x:c r="M22"/>
      <x:c r="N22"/>
      <x:c r="O22"/>
      <x:c r="P22"/>
      <x:c r="Q22"/>
      <x:c r="R22"/>
      <x:c r="S22"/>
      <x:c r="T22"/>
      <x:c r="U22"/>
      <x:c r="V22"/>
      <x:c r="W22"/>
      <x:c r="X22"/>
      <x:c r="Y22"/>
      <x:c r="Z22"/>
    </x:row>
    <x:row r="23" ht="208.5" customHeight="1">
      <x:c r="A23" s="11" t="str">
        <x:v>전자제품 / 노트북</x:v>
      </x:c>
      <x:c r="B23" s="11" t="str">
        <x:v>Acer 노트북 개성 있는 디자인 판매 / 890,000원</x:v>
      </x:c>
      <x:c r="C23" s="11" t="str">
        <x:v>졸업 후 사용 빈도가 줄어서 판매해요.
Acer 제품, Windows 11 Home. CPU Intel Celeron N4020, 그래픽 Intel UHD 600, RAM 4GB, 저장장치 eMMC 64GB입니다.
15.6인치 / 1920×1080. 무게는 약 2.2kg입니다.
24개월 사용했습니다. 상판 대형 캐릭터 스티커 / 제거하지 않음.
외관은 하판 도색 벗겨짐과 상판 깊은 긁힘. 기능 상태는 판매자 설명상 화면·키보드·와이파이·충전 정상.
구성품: 본체·정품 충전기. 배터리: 81% (판매자 제공 용량 비율).
한글·Microsoft Office 이용권은 미포함입니다. 샘플동 외곽역 앞에서 직거래합니다. 점검이나 추가 사진은 문의해주세요.
기본적인 간단 작업 위주로 사용했고 여러 문서를 동시에 열면 느릴 수 있습니다.
모델명(가상): DEMO_ACER_NOTEBOOK_022
문서프로그램: 한글·MS Office 이용권 미포함</x:v>
      </x:c>
      <x:c r="D23" s="16" t="n">
        <x:v>890000</x:v>
      </x:c>
      <x:c r="E23" s="11" t="str">
        <x:v>샘플동 외곽역 앞 / 거리 9.2km</x:v>
      </x:c>
      <x:c r="F23"/>
      <x:c r="G23"/>
      <x:c r="H23"/>
      <x:c r="I23"/>
      <x:c r="J23"/>
      <x:c r="K23"/>
      <x:c r="L23"/>
      <x:c r="M23"/>
      <x:c r="N23"/>
      <x:c r="O23"/>
      <x:c r="P23"/>
      <x:c r="Q23"/>
      <x:c r="R23"/>
      <x:c r="S23"/>
      <x:c r="T23"/>
      <x:c r="U23"/>
      <x:c r="V23"/>
      <x:c r="W23"/>
      <x:c r="X23"/>
      <x:c r="Y23"/>
      <x:c r="Z23"/>
    </x:row>
    <x:row r="24" ht="193.5" customHeight="1">
      <x:c r="A24" s="14" t="str">
        <x:v>전자제품 / 노트북</x:v>
      </x:c>
      <x:c r="B24" s="14" t="str">
        <x:v>HP 노트북 깔끔한 디자인 판매 / 1,100,000원</x:v>
      </x:c>
      <x:c r="C24" s="14" t="str">
        <x:v>서브 기기로 쓰다가 정리합니다.
HP 제품, Ubuntu Linux. CPU AMD Ryzen 5 5500U, 그래픽 AMD Radeon 내장, RAM 16GB, 저장장치 SSD 512GB입니다.
14인치 / 1920×1080. 무게는 약 2.4kg입니다.
72개월 사용했습니다. 실버 / 단순 디자인.
외관은 모서리 찍힘 2곳, 손목받침 변색. 기능 상태는 판매자 설명상 정상, 충전기 누락.
구성품: 본체만. 배터리: 90% (판매자 제공 용량 비율).
한글·Microsoft Office 이용권은 미포함입니다. 샘플동 공원 앞에서 직거래합니다. 점검이나 추가 사진은 문의해주세요.
모델명(가상): DEMO_HP_NOTEBOOK_023
문서프로그램: 한글·MS Office 이용권 미포함</x:v>
      </x:c>
      <x:c r="D24" s="15" t="n">
        <x:v>1100000</x:v>
      </x:c>
      <x:c r="E24" s="14" t="str">
        <x:v>샘플동 공원 앞 / 거리 2.7km</x:v>
      </x:c>
      <x:c r="F24"/>
      <x:c r="G24"/>
      <x:c r="H24"/>
      <x:c r="I24"/>
      <x:c r="J24"/>
      <x:c r="K24"/>
      <x:c r="L24"/>
      <x:c r="M24"/>
      <x:c r="N24"/>
      <x:c r="O24"/>
      <x:c r="P24"/>
      <x:c r="Q24"/>
      <x:c r="R24"/>
      <x:c r="S24"/>
      <x:c r="T24"/>
      <x:c r="U24"/>
      <x:c r="V24"/>
      <x:c r="W24"/>
      <x:c r="X24"/>
      <x:c r="Y24"/>
      <x:c r="Z24"/>
    </x:row>
    <x:row r="25" ht="208.5" customHeight="1">
      <x:c r="A25" s="11" t="str">
        <x:v>전자제품 / 노트북</x:v>
      </x:c>
      <x:c r="B25" s="11" t="str">
        <x:v>삼성 노트북 개성 있는 디자인 판매 / 620,000원</x:v>
      </x:c>
      <x:c r="C25" s="11" t="str">
        <x:v>이사 준비하면서 내놓습니다.
삼성 제품, Ubuntu Linux. CPU Intel Celeron N4020, 그래픽 Intel UHD 600, RAM 4GB, 저장장치 eMMC 64GB입니다.
15.6인치 / 1920×1080. 무게는 약 1.65kg입니다.
12개월 사용했습니다. 상판 대형 캐릭터 스티커 / 제거하지 않음.
외관은 바닥면 작은 생활 흠집, 상판·모서리 찍힘 없음. 기능 상태는 키보드 일부 키 입력 불량.
구성품: 본체·충전기. 배터리: 76% (판매자 제공 용량 비율).
한글·Microsoft Office 이용권은 미포함입니다. 샘플동 주민센터 앞에서 직거래합니다. 점검이나 추가 사진은 문의해주세요.
기본적인 간단 작업 위주로 사용했고 여러 문서를 동시에 열면 느릴 수 있습니다.
모델명(가상): DEMO_삼성_NOTEBOOK_024
문서프로그램: 한글·MS Office 이용권 미포함</x:v>
      </x:c>
      <x:c r="D25" s="16" t="n">
        <x:v>620000</x:v>
      </x:c>
      <x:c r="E25" s="11" t="str">
        <x:v>샘플동 주민센터 앞 / 거리 5.5km</x:v>
      </x:c>
      <x:c r="F25"/>
      <x:c r="G25"/>
      <x:c r="H25"/>
      <x:c r="I25"/>
      <x:c r="J25"/>
      <x:c r="K25"/>
      <x:c r="L25"/>
      <x:c r="M25"/>
      <x:c r="N25"/>
      <x:c r="O25"/>
      <x:c r="P25"/>
      <x:c r="Q25"/>
      <x:c r="R25"/>
      <x:c r="S25"/>
      <x:c r="T25"/>
      <x:c r="U25"/>
      <x:c r="V25"/>
      <x:c r="W25"/>
      <x:c r="X25"/>
      <x:c r="Y25"/>
      <x:c r="Z25"/>
    </x:row>
    <x:row r="26" ht="208.5" customHeight="1">
      <x:c r="A26" s="14" t="str">
        <x:v>전자제품 / 노트북</x:v>
      </x:c>
      <x:c r="B26" s="14" t="str">
        <x:v>Lenovo 노트북 개성 있는 디자인 판매 / 430,000원</x:v>
      </x:c>
      <x:c r="C26" s="14" t="str">
        <x:v>기기 교체하면서 판매합니다.
Lenovo 제품, Ubuntu Linux. CPU Intel Celeron N4020, 그래픽 Intel UHD 600, RAM 4GB, 저장장치 eMMC 64GB입니다.
14인치 / 1920×1080. 무게는 약 1.19kg입니다.
54개월 사용했습니다. 상판 대형 캐릭터 스티커 / 제거하지 않음.
외관은 하판 도색 벗겨짐과 상판 깊은 긁힘. 기능 상태는 판매자 설명상 화면·키보드·와이파이·충전 정상.
구성품: 본체·정품 충전기. 배터리: 88% (판매자 제공 용량 비율).
한글·Microsoft Office 이용권은 미포함입니다. 샘플동 중앙역 앞에서 직거래합니다. 점검이나 추가 사진은 문의해주세요.
기본적인 간단 작업 위주로 사용했고 여러 문서를 동시에 열면 느릴 수 있습니다.
모델명(가상): DEMO_LENOVO_NOTEBOOK_025
문서프로그램: 한글·MS Office 이용권 미포함</x:v>
      </x:c>
      <x:c r="D26" s="15" t="n">
        <x:v>430000</x:v>
      </x:c>
      <x:c r="E26" s="14" t="str">
        <x:v>샘플동 중앙역 앞 / 거리 7km</x:v>
      </x:c>
      <x:c r="F26"/>
      <x:c r="G26"/>
      <x:c r="H26"/>
      <x:c r="I26"/>
      <x:c r="J26"/>
      <x:c r="K26"/>
      <x:c r="L26"/>
      <x:c r="M26"/>
      <x:c r="N26"/>
      <x:c r="O26"/>
      <x:c r="P26"/>
      <x:c r="Q26"/>
      <x:c r="R26"/>
      <x:c r="S26"/>
      <x:c r="T26"/>
      <x:c r="U26"/>
      <x:c r="V26"/>
      <x:c r="W26"/>
      <x:c r="X26"/>
      <x:c r="Y26"/>
      <x:c r="Z26"/>
    </x:row>
    <x:row r="27" ht="193.5" customHeight="1">
      <x:c r="A27" s="11" t="str">
        <x:v>전자제품 / 맥북</x:v>
      </x:c>
      <x:c r="B27" s="11" t="str">
        <x:v>MacBook Air M1 중고 판매 / 가벼운 실버</x:v>
      </x:c>
      <x:c r="C27" s="11" t="str">
        <x:v>집에서 쓰던 제품 정리합니다.
Apple 제품, macOS. CPU Apple M1, 그래픽 Apple M1 GPU 7코어, RAM 8GB, 저장장치 SSD 512GB입니다.
14인치 / 1920×1080. 무게는 약 1.19kg입니다.
54개월 사용했습니다. 실버 / 단순 디자인.
외관은 바닥면 작은 생활 흠집, 상판·모서리 찍힘 없음. 기능 상태는 판매자 설명상 화면·키보드·와이파이·충전 정상.
구성품: 본체·정품 충전기. 배터리: 72% (판매자 제공 용량 비율).
한글·Microsoft Office 이용권은 미포함입니다. 샘플동 도서관 앞에서 직거래합니다. 점검이나 추가 사진은 문의해주세요.
모델명(가상): DEMO_APPLE_MACBOOK_001
문서프로그램: 한글·MS Office 이용권 미포함</x:v>
      </x:c>
      <x:c r="D27" s="16" t="n">
        <x:v>450000</x:v>
      </x:c>
      <x:c r="E27" s="11" t="str">
        <x:v>샘플동 도서관 앞 / 거리 7km</x:v>
      </x:c>
      <x:c r="F27"/>
      <x:c r="G27"/>
      <x:c r="H27"/>
      <x:c r="I27"/>
      <x:c r="J27"/>
      <x:c r="K27"/>
      <x:c r="L27"/>
      <x:c r="M27"/>
      <x:c r="N27"/>
      <x:c r="O27"/>
      <x:c r="P27"/>
      <x:c r="Q27"/>
      <x:c r="R27"/>
      <x:c r="S27"/>
      <x:c r="T27"/>
      <x:c r="U27"/>
      <x:c r="V27"/>
      <x:c r="W27"/>
      <x:c r="X27"/>
      <x:c r="Y27"/>
      <x:c r="Z27"/>
    </x:row>
    <x:row r="28" ht="193.5" customHeight="1">
      <x:c r="A28" s="14" t="str">
        <x:v>전자제품 / 맥북</x:v>
      </x:c>
      <x:c r="B28" s="14" t="str">
        <x:v>MacBook Air M2 중고 판매 / 최근 구매</x:v>
      </x:c>
      <x:c r="C28" s="14" t="str">
        <x:v>졸업 후 사용 빈도가 줄어서 판매해요.
Apple 제품, macOS. CPU Apple M2, 그래픽 Apple M2 GPU 8코어, RAM 16GB, 저장장치 SSD 512GB입니다.
15.6인치 / 1920×1080. 무게는 약 1.25kg입니다.
24개월 사용했습니다. 화이트 / 무늬 없는 디자인.
외관은 바닥면 작은 생활 흠집, 상판·모서리 찍힘 없음. 기능 상태는 판매자 설명상 화면·키보드·와이파이·충전 정상.
구성품: 본체·정품 충전기. 배터리: 81% (판매자 제공 용량 비율).
한글·Microsoft Office 이용권은 미포함입니다. 샘플동 외곽역 앞에서 직거래합니다. 점검이나 추가 사진은 문의해주세요.
모델명(가상): DEMO_APPLE_MACBOOK_002
문서프로그램: 한글·MS Office 이용권 미포함</x:v>
      </x:c>
      <x:c r="D28" s="15" t="n">
        <x:v>780000</x:v>
      </x:c>
      <x:c r="E28" s="14" t="str">
        <x:v>샘플동 외곽역 앞 / 거리 2.2km</x:v>
      </x:c>
      <x:c r="F28"/>
      <x:c r="G28"/>
      <x:c r="H28"/>
      <x:c r="I28"/>
      <x:c r="J28"/>
      <x:c r="K28"/>
      <x:c r="L28"/>
      <x:c r="M28"/>
      <x:c r="N28"/>
      <x:c r="O28"/>
      <x:c r="P28"/>
      <x:c r="Q28"/>
      <x:c r="R28"/>
      <x:c r="S28"/>
      <x:c r="T28"/>
      <x:c r="U28"/>
      <x:c r="V28"/>
      <x:c r="W28"/>
      <x:c r="X28"/>
      <x:c r="Y28"/>
      <x:c r="Z28"/>
    </x:row>
    <x:row r="29" ht="208.5" customHeight="1">
      <x:c r="A29" s="11" t="str">
        <x:v>전자제품 / 맥북</x:v>
      </x:c>
      <x:c r="B29" s="11" t="str">
        <x:v>MacBook Pro M1 Pro 중고 판매 / 작업용</x:v>
      </x:c>
      <x:c r="C29" s="11" t="str">
        <x:v>서브 기기로 쓰다가 정리합니다.
Apple 제품, macOS. CPU Apple M1 Pro, 그래픽 Apple M1 Pro GPU 14코어, RAM 16GB, 저장장치 SSD 512GB입니다.
14인치 / 1920×1080. 무게는 약 2.4kg입니다.
72개월 사용했습니다. 실버 / 단순 디자인.
외관은 바닥면 작은 생활 흠집, 상판·모서리 찍힘 없음. 기능 상태는 판매자 설명상 화면·키보드·와이파이·충전 정상.
구성품: 본체·정품 충전기. 배터리: 90% (판매자 제공 용량 비율).
한글·Microsoft Office 이용권은 미포함입니다. 샘플동 공원 앞에서 직거래합니다. 점검이나 추가 사진은 문의해주세요.
모델명(가상): DEMO_APPLE_MACBOOK_003
문서프로그램: 한글·MS Office 이용권 미포함</x:v>
      </x:c>
      <x:c r="D29" s="16" t="n">
        <x:v>990000</x:v>
      </x:c>
      <x:c r="E29" s="11" t="str">
        <x:v>샘플동 공원 앞 / 거리 12km</x:v>
      </x:c>
      <x:c r="F29"/>
      <x:c r="G29"/>
      <x:c r="H29"/>
      <x:c r="I29"/>
      <x:c r="J29"/>
      <x:c r="K29"/>
      <x:c r="L29"/>
      <x:c r="M29"/>
      <x:c r="N29"/>
      <x:c r="O29"/>
      <x:c r="P29"/>
      <x:c r="Q29"/>
      <x:c r="R29"/>
      <x:c r="S29"/>
      <x:c r="T29"/>
      <x:c r="U29"/>
      <x:c r="V29"/>
      <x:c r="W29"/>
      <x:c r="X29"/>
      <x:c r="Y29"/>
      <x:c r="Z29"/>
    </x:row>
    <x:row r="30" ht="208.5" customHeight="1">
      <x:c r="A30" s="14" t="str">
        <x:v>전자제품 / 맥북</x:v>
      </x:c>
      <x:c r="B30" s="14" t="str">
        <x:v>MacBook Pro Intel 중고 판매 / 사용감 있음</x:v>
      </x:c>
      <x:c r="C30" s="14" t="str">
        <x:v>이사 준비하면서 내놓습니다.
Apple 제품, macOS. CPU Intel Core i5-8259U, 그래픽 Intel Iris Plus 655, RAM 4GB, 저장장치 SSD 128GB입니다.
15.6인치 / 1920×1080. 무게는 약 1.65kg입니다.
48개월 사용했습니다. 상판 대형 캐릭터 스티커 / 제거하지 않음.
외관은 하판 도색 벗겨짐과 상판 깊은 긁힘. 기능 상태는 키보드 일부 키 입력 불량.
구성품: 본체·충전기. 배터리: 76% (판매자 제공 용량 비율).
한글·Microsoft Office 이용권은 미포함입니다. 샘플동 주민센터 앞에서 직거래합니다. 점검이나 추가 사진은 문의해주세요.
기본적인 간단 작업 위주로 사용했고 여러 문서를 동시에 열면 느릴 수 있습니다.
모델명(가상): DEMO_APPLE_MACBOOK_004
문서프로그램: 한글·MS Office 이용권 미포함</x:v>
      </x:c>
      <x:c r="D30" s="15" t="n">
        <x:v>270000</x:v>
      </x:c>
      <x:c r="E30" s="14" t="str">
        <x:v>샘플동 주민센터 앞 / 거리 0.8km</x:v>
      </x:c>
      <x:c r="F30"/>
      <x:c r="G30"/>
      <x:c r="H30"/>
      <x:c r="I30"/>
      <x:c r="J30"/>
      <x:c r="K30"/>
      <x:c r="L30"/>
      <x:c r="M30"/>
      <x:c r="N30"/>
      <x:c r="O30"/>
      <x:c r="P30"/>
      <x:c r="Q30"/>
      <x:c r="R30"/>
      <x:c r="S30"/>
      <x:c r="T30"/>
      <x:c r="U30"/>
      <x:c r="V30"/>
      <x:c r="W30"/>
      <x:c r="X30"/>
      <x:c r="Y30"/>
      <x:c r="Z30"/>
    </x:row>
    <x:row r="31" ht="178.5" customHeight="1">
      <x:c r="A31" s="11" t="str">
        <x:v>전자제품 / 맥북</x:v>
      </x:c>
      <x:c r="B31" s="11" t="str">
        <x:v>MacBook Air M3 중고 판매 / 충전기 포함</x:v>
      </x:c>
      <x:c r="C31" s="11" t="str">
        <x:v>기기 교체하면서 판매합니다.
Apple 제품, macOS. CPU Apple M3, 그래픽 Apple M3 GPU 8코어, RAM 16GB, 저장장치 SSD 512GB입니다.
14인치 / 1920×1080. 무게는 약 1.19kg입니다.
18개월 사용했습니다. 실버 / 단순 디자인.
외관은 모서리 찍힘 2곳, 손목받침 변색. 기능 상태는 판매자 설명상 화면·키보드·와이파이·충전 정상.
구성품: 본체·정품 충전기. 배터리: 88% (판매자 제공 용량 비율).
한글·Microsoft Office 이용권은 미포함입니다. 샘플동 중앙역 앞에서 직거래합니다. 점검이나 추가 사진은 문의해주세요.
모델명(가상): DEMO_APPLE_MACBOOK_005
문서프로그램: 한글·MS Office 이용권 미포함</x:v>
      </x:c>
      <x:c r="D31" s="16" t="n">
        <x:v>1050000</x:v>
      </x:c>
      <x:c r="E31" s="11" t="str">
        <x:v>샘플동 중앙역 앞 / 거리 7km</x:v>
      </x:c>
      <x:c r="F31"/>
      <x:c r="G31"/>
      <x:c r="H31"/>
      <x:c r="I31"/>
      <x:c r="J31"/>
      <x:c r="K31"/>
      <x:c r="L31"/>
      <x:c r="M31"/>
      <x:c r="N31"/>
      <x:c r="O31"/>
      <x:c r="P31"/>
      <x:c r="Q31"/>
      <x:c r="R31"/>
      <x:c r="S31"/>
      <x:c r="T31"/>
      <x:c r="U31"/>
      <x:c r="V31"/>
      <x:c r="W31"/>
      <x:c r="X31"/>
      <x:c r="Y31"/>
      <x:c r="Z31"/>
    </x:row>
    <x:row r="32" ht="208.5" customHeight="1">
      <x:c r="A32" s="14" t="str">
        <x:v>전자제품 / 컴퓨터</x:v>
      </x:c>
      <x:c r="B32" s="14" t="str">
        <x:v>사무용 데스크톱 판매</x:v>
      </x:c>
      <x:c r="C32" s="14" t="str">
        <x:v>집에서 쓰던 제품 정리합니다.
조립PC 제품, Windows 11 Home. CPU Intel Core i5-12400, 그래픽 Intel UHD 730, RAM 16GB, 저장장치 SSD 512GB입니다.
모니터 미포함. 무게는 약 5.6kg입니다.
54개월 사용했습니다. 실버 / 단순 디자인.
외관은 바닥면 작은 생활 흠집, 상판·모서리 찍힘 없음. 기능 상태는 판매자 설명상 화면·키보드·와이파이·충전 정상.
구성품: 본체·전원 케이블. 배터리: 해당 없음.
한글·Microsoft Office 이용권은 미포함입니다. 샘플동 도서관 앞에서 직거래합니다. 점검이나 추가 사진은 문의해주세요.
모델명(가상): DEMO_조립PC_DESKTOP_001
문서프로그램: 한글·MS Office 이용권 미포함</x:v>
      </x:c>
      <x:c r="D32" s="15" t="n">
        <x:v>350000</x:v>
      </x:c>
      <x:c r="E32" s="14" t="str">
        <x:v>샘플동 도서관 앞 / 거리 1.5km</x:v>
      </x:c>
      <x:c r="F32"/>
      <x:c r="G32"/>
      <x:c r="H32"/>
      <x:c r="I32"/>
      <x:c r="J32"/>
      <x:c r="K32"/>
      <x:c r="L32"/>
      <x:c r="M32"/>
      <x:c r="N32"/>
      <x:c r="O32"/>
      <x:c r="P32"/>
      <x:c r="Q32"/>
      <x:c r="R32"/>
      <x:c r="S32"/>
      <x:c r="T32"/>
      <x:c r="U32"/>
      <x:c r="V32"/>
      <x:c r="W32"/>
      <x:c r="X32"/>
      <x:c r="Y32"/>
      <x:c r="Z32"/>
    </x:row>
    <x:row r="33" ht="193.5" customHeight="1">
      <x:c r="A33" s="11" t="str">
        <x:v>전자제품 / 컴퓨터</x:v>
      </x:c>
      <x:c r="B33" s="11" t="str">
        <x:v>게임용 조립PC 판매</x:v>
      </x:c>
      <x:c r="C33" s="11" t="str">
        <x:v>졸업 후 사용 빈도가 줄어서 판매해요.
조립PC 제품, Windows 11 Home. CPU AMD Ryzen 5 5600, 그래픽 NVIDIA GeForce GTX 1660 Super, RAM 16GB, 저장장치 SSD 512GB입니다.
모니터 미포함. 무게는 약 6.2kg입니다.
24개월 사용했습니다. 상판 대형 캐릭터 스티커 / 제거하지 않음.
외관은 모서리 찍힘 2곳, 손목받침 변색. 기능 상태는 판매자 설명상 화면·키보드·와이파이·충전 정상.
구성품: 본체·전원 케이블. 배터리: 해당 없음.
한글·Microsoft Office 이용권은 미포함입니다. 샘플동 외곽역 앞에서 직거래합니다. 점검이나 추가 사진은 문의해주세요.
모델명(가상): DEMO_조립PC_DESKTOP_002
문서프로그램: 한글·MS Office 이용권 미포함</x:v>
      </x:c>
      <x:c r="D33" s="16" t="n">
        <x:v>480000</x:v>
      </x:c>
      <x:c r="E33" s="11" t="str">
        <x:v>샘플동 외곽역 앞 / 거리 9.2km</x:v>
      </x:c>
      <x:c r="F33"/>
      <x:c r="G33"/>
      <x:c r="H33"/>
      <x:c r="I33"/>
      <x:c r="J33"/>
      <x:c r="K33"/>
      <x:c r="L33"/>
      <x:c r="M33"/>
      <x:c r="N33"/>
      <x:c r="O33"/>
      <x:c r="P33"/>
      <x:c r="Q33"/>
      <x:c r="R33"/>
      <x:c r="S33"/>
      <x:c r="T33"/>
      <x:c r="U33"/>
      <x:c r="V33"/>
      <x:c r="W33"/>
      <x:c r="X33"/>
      <x:c r="Y33"/>
      <x:c r="Z33"/>
    </x:row>
    <x:row r="34" ht="208.5" customHeight="1">
      <x:c r="A34" s="14" t="str">
        <x:v>전자제품 / 컴퓨터</x:v>
      </x:c>
      <x:c r="B34" s="14" t="str">
        <x:v>고성능 작업용 본체 판매</x:v>
      </x:c>
      <x:c r="C34" s="14" t="str">
        <x:v>서브 기기로 쓰다가 정리합니다.
조립PC 제품, Windows 11 Home. CPU Intel Core i7-13700, 그래픽 NVIDIA GeForce RTX 4070, RAM 16GB, 저장장치 SSD 512GB입니다.
모니터 미포함. 무게는 약 6.8kg입니다.
30개월 사용했습니다. 상판 대형 캐릭터 스티커 / 제거하지 않음.
외관은 바닥면 작은 생활 흠집, 상판·모서리 찍힘 없음. 기능 상태는 판매자 설명상 화면·키보드·와이파이·충전 정상.
구성품: 본체·전원 케이블. 배터리: 해당 없음.
한글·Microsoft Office 이용권은 미포함입니다. 샘플동 공원 앞에서 직거래합니다. 점검이나 추가 사진은 문의해주세요.
모델명(가상): DEMO_조립PC_DESKTOP_003
문서프로그램: 한글·MS Office 이용권 미포함</x:v>
      </x:c>
      <x:c r="D34" s="15" t="n">
        <x:v>1350000</x:v>
      </x:c>
      <x:c r="E34" s="14" t="str">
        <x:v>샘플동 공원 앞 / 거리 12km</x:v>
      </x:c>
      <x:c r="F34"/>
      <x:c r="G34"/>
      <x:c r="H34"/>
      <x:c r="I34"/>
      <x:c r="J34"/>
      <x:c r="K34"/>
      <x:c r="L34"/>
      <x:c r="M34"/>
      <x:c r="N34"/>
      <x:c r="O34"/>
      <x:c r="P34"/>
      <x:c r="Q34"/>
      <x:c r="R34"/>
      <x:c r="S34"/>
      <x:c r="T34"/>
      <x:c r="U34"/>
      <x:c r="V34"/>
      <x:c r="W34"/>
      <x:c r="X34"/>
      <x:c r="Y34"/>
      <x:c r="Z34"/>
    </x:row>
    <x:row r="35" ht="208.5" customHeight="1">
      <x:c r="A35" s="11" t="str">
        <x:v>전자제품 / 컴퓨터</x:v>
      </x:c>
      <x:c r="B35" s="11" t="str">
        <x:v>구형 삼성 데스크톱 판매</x:v>
      </x:c>
      <x:c r="C35" s="11" t="str">
        <x:v>이사 준비하면서 내놓습니다.
삼성 제품, Windows 11 Home. CPU Intel Core i3-10100, 그래픽 Intel UHD 630, RAM 4GB, 저장장치 eMMC 64GB입니다.
모니터 미포함. 무게는 약 7.4kg입니다.
48개월 사용했습니다. 화이트 / 무늬 없는 디자인.
외관은 하판 도색 벗겨짐과 상판 깊은 긁힘. 기능 상태는 키보드 일부 키 입력 불량.
구성품: 본체·충전기. 배터리: 해당 없음.
한글·Microsoft Office 이용권은 미포함입니다. 샘플동 주민센터 앞에서 직거래합니다. 점검이나 추가 사진은 문의해주세요.
기본적인 간단 작업 위주로 사용했고 여러 문서를 동시에 열면 느릴 수 있습니다.
모델명(가상): DEMO_삼성_DESKTOP_004
문서프로그램: 한글·MS Office 이용권 미포함</x:v>
      </x:c>
      <x:c r="D35" s="16" t="n">
        <x:v>190000</x:v>
      </x:c>
      <x:c r="E35" s="11" t="str">
        <x:v>샘플동 주민센터 앞 / 거리 0.8km</x:v>
      </x:c>
      <x:c r="F35"/>
      <x:c r="G35"/>
      <x:c r="H35"/>
      <x:c r="I35"/>
      <x:c r="J35"/>
      <x:c r="K35"/>
      <x:c r="L35"/>
      <x:c r="M35"/>
      <x:c r="N35"/>
      <x:c r="O35"/>
      <x:c r="P35"/>
      <x:c r="Q35"/>
      <x:c r="R35"/>
      <x:c r="S35"/>
      <x:c r="T35"/>
      <x:c r="U35"/>
      <x:c r="V35"/>
      <x:c r="W35"/>
      <x:c r="X35"/>
      <x:c r="Y35"/>
      <x:c r="Z35"/>
    </x:row>
    <x:row r="36" ht="193.5" customHeight="1">
      <x:c r="A36" s="14" t="str">
        <x:v>전자제품 / 컴퓨터</x:v>
      </x:c>
      <x:c r="B36" s="14" t="str">
        <x:v>소형 데스크톱 판매</x:v>
      </x:c>
      <x:c r="C36" s="14" t="str">
        <x:v>기기 교체하면서 판매합니다.
조립PC 제품, Windows 11 Home. CPU AMD Ryzen 5 5600G, 그래픽 AMD Radeon Vega 7, RAM 16GB, 저장장치 SSD 512GB입니다.
모니터 미포함. 무게는 약 8kg입니다.
18개월 사용했습니다. 실버 / 단순 디자인.
외관은 모서리 찍힘 2곳, 손목받침 변색. 기능 상태는 판매자 설명상 화면·키보드·와이파이·충전 정상.
구성품: 본체·전원 케이블. 배터리: 해당 없음.
한글·Microsoft Office 이용권은 미포함입니다. 샘플동 중앙역 앞에서 직거래합니다. 점검이나 추가 사진은 문의해주세요.
모델명(가상): DEMO_조립PC_DESKTOP_005
문서프로그램: 한글·MS Office 이용권 미포함</x:v>
      </x:c>
      <x:c r="D36" s="15" t="n">
        <x:v>420000</x:v>
      </x:c>
      <x:c r="E36" s="14" t="str">
        <x:v>샘플동 중앙역 앞 / 거리 1.5km</x:v>
      </x:c>
      <x:c r="F36"/>
      <x:c r="G36"/>
      <x:c r="H36"/>
      <x:c r="I36"/>
      <x:c r="J36"/>
      <x:c r="K36"/>
      <x:c r="L36"/>
      <x:c r="M36"/>
      <x:c r="N36"/>
      <x:c r="O36"/>
      <x:c r="P36"/>
      <x:c r="Q36"/>
      <x:c r="R36"/>
      <x:c r="S36"/>
      <x:c r="T36"/>
      <x:c r="U36"/>
      <x:c r="V36"/>
      <x:c r="W36"/>
      <x:c r="X36"/>
      <x:c r="Y36"/>
      <x:c r="Z36"/>
    </x:row>
  </x:sheetData>
  <x:pageMargins left="0.7" right="0.7" top="0.75" bottom="0.75" header="0.3" footer="0.3"/>
  <x:tableParts count="1">
    <x:tablePart xmlns:r="http://schemas.openxmlformats.org/officeDocument/2006/relationships" r:id="R9de3ee0a4bc24ad4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ColWidth="8.796875" defaultRowHeight="16.399999618530273"/>
  <x:cols>
    <x:col min="1" max="1" width="22" style="2" customWidth="1"/>
    <x:col min="2" max="2" width="30" style="2" customWidth="1"/>
    <x:col min="3" max="3" width="38" style="2" customWidth="1"/>
    <x:col min="4" max="5" width="19" style="2" customWidth="1"/>
    <x:col min="6" max="6" width="20" style="2" customWidth="1"/>
    <x:col min="7" max="7" width="48" style="2" customWidth="1"/>
    <x:col min="8" max="8" width="38" style="2" customWidth="1"/>
    <x:col min="10" max="11" width="18" style="2" customWidth="1"/>
  </x:cols>
  <x:sheetData>
    <x:row r="1" ht="42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J1" s="2" t="s">
        <x:v>8</x:v>
      </x:c>
      <x:c r="K1" s="2" t="s">
        <x:v>9</x:v>
      </x:c>
    </x:row>
    <x:row r="2" ht="48" customHeight="1">
      <x:c r="A2" s="3" t="s">
        <x:v>10</x:v>
      </x:c>
      <x:c r="B2" s="3" t="s">
        <x:v>11</x:v>
      </x:c>
      <x:c r="C2" s="3" t="s">
        <x:v>12</x:v>
      </x:c>
      <x:c r="D2" s="3">
        <x:v>74</x:v>
      </x:c>
      <x:c r="E2" s="3">
        <x:v>35</x:v>
      </x:c>
      <x:c r="F2" s="3" t="n">
        <x:f>IF(AND(ISNUMBER(D2),ISNUMBER(E2)),ROUND(D2*$K$2+E2*$K$3,0),"")</x:f>
        <x:v>62</x:v>
      </x:c>
      <x:c r="G2" s="3" t="s">
        <x:v>13</x:v>
      </x:c>
      <x:c r="H2" s="3" t="s">
        <x:v>14</x:v>
      </x:c>
      <x:c r="J2" s="2" t="s">
        <x:v>1</x:v>
      </x:c>
      <x:c r="K2" s="2">
        <x:v>0.69999999999999996</x:v>
      </x:c>
    </x:row>
    <x:row r="3" ht="48" customHeight="1">
      <x:c r="A3" s="3" t="s">
        <x:v>15</x:v>
      </x:c>
      <x:c r="B3" s="3" t="s">
        <x:v>16</x:v>
      </x:c>
      <x:c r="C3" s="3" t="s">
        <x:v>12</x:v>
      </x:c>
      <x:c r="D3" s="3">
        <x:v>63</x:v>
      </x:c>
      <x:c r="E3" s="3">
        <x:v>32</x:v>
      </x:c>
      <x:c r="F3" s="3" t="n">
        <x:f>IF(AND(ISNUMBER(D3),ISNUMBER(E3)),ROUND(D3*$K$2+E3*$K$3,0),"")</x:f>
        <x:v>54</x:v>
      </x:c>
      <x:c r="G3" s="3" t="s">
        <x:v>13</x:v>
      </x:c>
      <x:c r="H3" s="3" t="s">
        <x:v>14</x:v>
      </x:c>
      <x:c r="J3" s="2" t="s">
        <x:v>2</x:v>
      </x:c>
      <x:c r="K3" s="2">
        <x:v>0.29999999999999999</x:v>
      </x:c>
    </x:row>
    <x:row r="4" ht="48" customHeight="1">
      <x:c r="A4" s="3" t="s">
        <x:v>17</x:v>
      </x:c>
      <x:c r="B4" s="3" t="s">
        <x:v>18</x:v>
      </x:c>
      <x:c r="C4" s="3" t="s">
        <x:v>19</x:v>
      </x:c>
      <x:c r="D4" s="3"/>
      <x:c r="E4" s="3"/>
      <x:c r="F4" s="3" t="str">
        <x:f>IF(AND(ISNUMBER(D4),ISNUMBER(E4)),ROUND(D4*$K$2+E4*$K$3,0),"")</x:f>
      </x:c>
      <x:c r="G4" s="3" t="s">
        <x:v>13</x:v>
      </x:c>
      <x:c r="H4" s="3" t="s">
        <x:v>20</x:v>
      </x:c>
    </x:row>
    <x:row r="5" ht="48" customHeight="1">
      <x:c r="A5" s="3" t="s">
        <x:v>21</x:v>
      </x:c>
      <x:c r="B5" s="3" t="s">
        <x:v>22</x:v>
      </x:c>
      <x:c r="C5" s="3" t="s">
        <x:v>12</x:v>
      </x:c>
      <x:c r="D5" s="3">
        <x:v>79</x:v>
      </x:c>
      <x:c r="E5" s="3">
        <x:v>38</x:v>
      </x:c>
      <x:c r="F5" s="3" t="n">
        <x:f>IF(AND(ISNUMBER(D5),ISNUMBER(E5)),ROUND(D5*$K$2+E5*$K$3,0),"")</x:f>
        <x:v>67</x:v>
      </x:c>
      <x:c r="G5" s="3" t="s">
        <x:v>13</x:v>
      </x:c>
      <x:c r="H5" s="3" t="s">
        <x:v>14</x:v>
      </x:c>
    </x:row>
    <x:row r="6" ht="48" customHeight="1">
      <x:c r="A6" s="3" t="s">
        <x:v>23</x:v>
      </x:c>
      <x:c r="B6" s="3" t="s">
        <x:v>24</x:v>
      </x:c>
      <x:c r="C6" s="3" t="s">
        <x:v>12</x:v>
      </x:c>
      <x:c r="D6" s="3">
        <x:v>82</x:v>
      </x:c>
      <x:c r="E6" s="3">
        <x:v>40</x:v>
      </x:c>
      <x:c r="F6" s="3" t="n">
        <x:f>IF(AND(ISNUMBER(D6),ISNUMBER(E6)),ROUND(D6*$K$2+E6*$K$3,0),"")</x:f>
        <x:v>69</x:v>
      </x:c>
      <x:c r="G6" s="3" t="s">
        <x:v>13</x:v>
      </x:c>
      <x:c r="H6" s="3" t="s">
        <x:v>14</x:v>
      </x:c>
    </x:row>
    <x:row r="7" ht="48" customHeight="1">
      <x:c r="A7" s="3" t="s">
        <x:v>25</x:v>
      </x:c>
      <x:c r="B7" s="3" t="s">
        <x:v>16</x:v>
      </x:c>
      <x:c r="C7" s="3" t="s">
        <x:v>12</x:v>
      </x:c>
      <x:c r="D7" s="3">
        <x:v>63</x:v>
      </x:c>
      <x:c r="E7" s="3">
        <x:v>32</x:v>
      </x:c>
      <x:c r="F7" s="3" t="n">
        <x:f>IF(AND(ISNUMBER(D7),ISNUMBER(E7)),ROUND(D7*$K$2+E7*$K$3,0),"")</x:f>
        <x:v>54</x:v>
      </x:c>
      <x:c r="G7" s="3" t="s">
        <x:v>13</x:v>
      </x:c>
      <x:c r="H7" s="3" t="s">
        <x:v>14</x:v>
      </x:c>
    </x:row>
    <x:row r="8" ht="48" customHeight="1">
      <x:c r="A8" s="3" t="s">
        <x:v>26</x:v>
      </x:c>
      <x:c r="B8" s="3" t="s">
        <x:v>22</x:v>
      </x:c>
      <x:c r="C8" s="3" t="s">
        <x:v>12</x:v>
      </x:c>
      <x:c r="D8" s="3">
        <x:v>79</x:v>
      </x:c>
      <x:c r="E8" s="3">
        <x:v>38</x:v>
      </x:c>
      <x:c r="F8" s="3" t="n">
        <x:f>IF(AND(ISNUMBER(D8),ISNUMBER(E8)),ROUND(D8*$K$2+E8*$K$3,0),"")</x:f>
        <x:v>67</x:v>
      </x:c>
      <x:c r="G8" s="3" t="s">
        <x:v>13</x:v>
      </x:c>
      <x:c r="H8" s="3" t="s">
        <x:v>14</x:v>
      </x:c>
    </x:row>
    <x:row r="9" ht="48" customHeight="1">
      <x:c r="A9" s="3" t="s">
        <x:v>27</x:v>
      </x:c>
      <x:c r="B9" s="3" t="s">
        <x:v>28</x:v>
      </x:c>
      <x:c r="C9" s="3" t="s">
        <x:v>29</x:v>
      </x:c>
      <x:c r="D9" s="3">
        <x:v>15</x:v>
      </x:c>
      <x:c r="E9" s="3">
        <x:v>7</x:v>
      </x:c>
      <x:c r="F9" s="3" t="n">
        <x:f>IF(AND(ISNUMBER(D9),ISNUMBER(E9)),ROUND(D9*$K$2+E9*$K$3,0),"")</x:f>
        <x:v>13</x:v>
      </x:c>
      <x:c r="G9" s="3" t="s">
        <x:v>13</x:v>
      </x:c>
      <x:c r="H9" s="3" t="s">
        <x:v>14</x:v>
      </x:c>
    </x:row>
    <x:row r="10" ht="48" customHeight="1">
      <x:c r="A10" s="3" t="s">
        <x:v>30</x:v>
      </x:c>
      <x:c r="B10" s="3" t="s">
        <x:v>24</x:v>
      </x:c>
      <x:c r="C10" s="3" t="s">
        <x:v>12</x:v>
      </x:c>
      <x:c r="D10" s="3">
        <x:v>82</x:v>
      </x:c>
      <x:c r="E10" s="3">
        <x:v>40</x:v>
      </x:c>
      <x:c r="F10" s="3" t="n">
        <x:f>IF(AND(ISNUMBER(D10),ISNUMBER(E10)),ROUND(D10*$K$2+E10*$K$3,0),"")</x:f>
        <x:v>69</x:v>
      </x:c>
      <x:c r="G10" s="3" t="s">
        <x:v>13</x:v>
      </x:c>
      <x:c r="H10" s="3" t="s">
        <x:v>14</x:v>
      </x:c>
    </x:row>
    <x:row r="11" ht="48" customHeight="1">
      <x:c r="A11" s="3" t="s">
        <x:v>31</x:v>
      </x:c>
      <x:c r="B11" s="3" t="s">
        <x:v>28</x:v>
      </x:c>
      <x:c r="C11" s="3" t="s">
        <x:v>29</x:v>
      </x:c>
      <x:c r="D11" s="3">
        <x:v>15</x:v>
      </x:c>
      <x:c r="E11" s="3">
        <x:v>7</x:v>
      </x:c>
      <x:c r="F11" s="3" t="n">
        <x:f>IF(AND(ISNUMBER(D11),ISNUMBER(E11)),ROUND(D11*$K$2+E11*$K$3,0),"")</x:f>
        <x:v>13</x:v>
      </x:c>
      <x:c r="G11" s="3" t="s">
        <x:v>13</x:v>
      </x:c>
      <x:c r="H11" s="3" t="s">
        <x:v>14</x:v>
      </x:c>
    </x:row>
    <x:row r="12" ht="48" customHeight="1">
      <x:c r="A12" s="3" t="s">
        <x:v>32</x:v>
      </x:c>
      <x:c r="B12" s="3" t="s">
        <x:v>16</x:v>
      </x:c>
      <x:c r="C12" s="3" t="s">
        <x:v>12</x:v>
      </x:c>
      <x:c r="D12" s="3">
        <x:v>63</x:v>
      </x:c>
      <x:c r="E12" s="3">
        <x:v>32</x:v>
      </x:c>
      <x:c r="F12" s="3" t="n">
        <x:f>IF(AND(ISNUMBER(D12),ISNUMBER(E12)),ROUND(D12*$K$2+E12*$K$3,0),"")</x:f>
        <x:v>54</x:v>
      </x:c>
      <x:c r="G12" s="3" t="s">
        <x:v>13</x:v>
      </x:c>
      <x:c r="H12" s="3" t="s">
        <x:v>14</x:v>
      </x:c>
    </x:row>
    <x:row r="13" ht="48" customHeight="1">
      <x:c r="A13" s="3" t="s">
        <x:v>33</x:v>
      </x:c>
      <x:c r="B13" s="3" t="s">
        <x:v>22</x:v>
      </x:c>
      <x:c r="C13" s="3" t="s">
        <x:v>12</x:v>
      </x:c>
      <x:c r="D13" s="3">
        <x:v>79</x:v>
      </x:c>
      <x:c r="E13" s="3">
        <x:v>38</x:v>
      </x:c>
      <x:c r="F13" s="3" t="n">
        <x:f>IF(AND(ISNUMBER(D13),ISNUMBER(E13)),ROUND(D13*$K$2+E13*$K$3,0),"")</x:f>
        <x:v>67</x:v>
      </x:c>
      <x:c r="G13" s="3" t="s">
        <x:v>13</x:v>
      </x:c>
      <x:c r="H13" s="3" t="s">
        <x:v>14</x:v>
      </x:c>
    </x:row>
    <x:row r="14" ht="48" customHeight="1">
      <x:c r="A14" s="3" t="s">
        <x:v>34</x:v>
      </x:c>
      <x:c r="B14" s="3" t="s">
        <x:v>18</x:v>
      </x:c>
      <x:c r="C14" s="3" t="s">
        <x:v>19</x:v>
      </x:c>
      <x:c r="D14" s="3"/>
      <x:c r="E14" s="3"/>
      <x:c r="F14" s="3" t="str">
        <x:f>IF(AND(ISNUMBER(D14),ISNUMBER(E14)),ROUND(D14*$K$2+E14*$K$3,0),"")</x:f>
      </x:c>
      <x:c r="G14" s="3" t="s">
        <x:v>13</x:v>
      </x:c>
      <x:c r="H14" s="3" t="s">
        <x:v>20</x:v>
      </x:c>
    </x:row>
    <x:row r="15" ht="48" customHeight="1">
      <x:c r="A15" s="3" t="s">
        <x:v>35</x:v>
      </x:c>
      <x:c r="B15" s="3" t="s">
        <x:v>24</x:v>
      </x:c>
      <x:c r="C15" s="3" t="s">
        <x:v>12</x:v>
      </x:c>
      <x:c r="D15" s="3">
        <x:v>82</x:v>
      </x:c>
      <x:c r="E15" s="3">
        <x:v>40</x:v>
      </x:c>
      <x:c r="F15" s="3" t="n">
        <x:f>IF(AND(ISNUMBER(D15),ISNUMBER(E15)),ROUND(D15*$K$2+E15*$K$3,0),"")</x:f>
        <x:v>69</x:v>
      </x:c>
      <x:c r="G15" s="3" t="s">
        <x:v>13</x:v>
      </x:c>
      <x:c r="H15" s="3" t="s">
        <x:v>14</x:v>
      </x:c>
    </x:row>
    <x:row r="16" ht="48" customHeight="1">
      <x:c r="A16" s="3" t="s">
        <x:v>36</x:v>
      </x:c>
      <x:c r="B16" s="3" t="s">
        <x:v>11</x:v>
      </x:c>
      <x:c r="C16" s="3" t="s">
        <x:v>12</x:v>
      </x:c>
      <x:c r="D16" s="3">
        <x:v>74</x:v>
      </x:c>
      <x:c r="E16" s="3">
        <x:v>35</x:v>
      </x:c>
      <x:c r="F16" s="3" t="n">
        <x:f>IF(AND(ISNUMBER(D16),ISNUMBER(E16)),ROUND(D16*$K$2+E16*$K$3,0),"")</x:f>
        <x:v>62</x:v>
      </x:c>
      <x:c r="G16" s="3" t="s">
        <x:v>13</x:v>
      </x:c>
      <x:c r="H16" s="3" t="s">
        <x:v>14</x:v>
      </x:c>
    </x:row>
    <x:row r="17" ht="48" customHeight="1">
      <x:c r="A17" s="3" t="s">
        <x:v>37</x:v>
      </x:c>
      <x:c r="B17" s="3" t="s">
        <x:v>18</x:v>
      </x:c>
      <x:c r="C17" s="3" t="s">
        <x:v>19</x:v>
      </x:c>
      <x:c r="D17" s="3"/>
      <x:c r="E17" s="3"/>
      <x:c r="F17" s="3" t="str">
        <x:f>IF(AND(ISNUMBER(D17),ISNUMBER(E17)),ROUND(D17*$K$2+E17*$K$3,0),"")</x:f>
      </x:c>
      <x:c r="G17" s="3" t="s">
        <x:v>13</x:v>
      </x:c>
      <x:c r="H17" s="3" t="s">
        <x:v>20</x:v>
      </x:c>
    </x:row>
    <x:row r="18" ht="48" customHeight="1">
      <x:c r="A18" s="3" t="s">
        <x:v>38</x:v>
      </x:c>
      <x:c r="B18" s="3" t="s">
        <x:v>22</x:v>
      </x:c>
      <x:c r="C18" s="3" t="s">
        <x:v>12</x:v>
      </x:c>
      <x:c r="D18" s="3">
        <x:v>79</x:v>
      </x:c>
      <x:c r="E18" s="3">
        <x:v>38</x:v>
      </x:c>
      <x:c r="F18" s="3" t="n">
        <x:f>IF(AND(ISNUMBER(D18),ISNUMBER(E18)),ROUND(D18*$K$2+E18*$K$3,0),"")</x:f>
        <x:v>67</x:v>
      </x:c>
      <x:c r="G18" s="3" t="s">
        <x:v>13</x:v>
      </x:c>
      <x:c r="H18" s="3" t="s">
        <x:v>14</x:v>
      </x:c>
    </x:row>
    <x:row r="19" ht="48" customHeight="1">
      <x:c r="A19" s="3" t="s">
        <x:v>39</x:v>
      </x:c>
      <x:c r="B19" s="3" t="s">
        <x:v>28</x:v>
      </x:c>
      <x:c r="C19" s="3" t="s">
        <x:v>29</x:v>
      </x:c>
      <x:c r="D19" s="3">
        <x:v>15</x:v>
      </x:c>
      <x:c r="E19" s="3">
        <x:v>7</x:v>
      </x:c>
      <x:c r="F19" s="3" t="n">
        <x:f>IF(AND(ISNUMBER(D19),ISNUMBER(E19)),ROUND(D19*$K$2+E19*$K$3,0),"")</x:f>
        <x:v>13</x:v>
      </x:c>
      <x:c r="G19" s="3" t="s">
        <x:v>13</x:v>
      </x:c>
      <x:c r="H19" s="3" t="s">
        <x:v>14</x:v>
      </x:c>
    </x:row>
    <x:row r="20" ht="48" customHeight="1">
      <x:c r="A20" s="3" t="s">
        <x:v>40</x:v>
      </x:c>
      <x:c r="B20" s="3" t="s">
        <x:v>24</x:v>
      </x:c>
      <x:c r="C20" s="3" t="s">
        <x:v>12</x:v>
      </x:c>
      <x:c r="D20" s="3">
        <x:v>82</x:v>
      </x:c>
      <x:c r="E20" s="3">
        <x:v>40</x:v>
      </x:c>
      <x:c r="F20" s="3" t="n">
        <x:f>IF(AND(ISNUMBER(D20),ISNUMBER(E20)),ROUND(D20*$K$2+E20*$K$3,0),"")</x:f>
        <x:v>69</x:v>
      </x:c>
      <x:c r="G20" s="3" t="s">
        <x:v>13</x:v>
      </x:c>
      <x:c r="H20" s="3" t="s">
        <x:v>14</x:v>
      </x:c>
    </x:row>
    <x:row r="21" ht="48" customHeight="1">
      <x:c r="A21" s="3" t="s">
        <x:v>41</x:v>
      </x:c>
      <x:c r="B21" s="3" t="s">
        <x:v>28</x:v>
      </x:c>
      <x:c r="C21" s="3" t="s">
        <x:v>29</x:v>
      </x:c>
      <x:c r="D21" s="3">
        <x:v>15</x:v>
      </x:c>
      <x:c r="E21" s="3">
        <x:v>7</x:v>
      </x:c>
      <x:c r="F21" s="3" t="n">
        <x:f>IF(AND(ISNUMBER(D21),ISNUMBER(E21)),ROUND(D21*$K$2+E21*$K$3,0),"")</x:f>
        <x:v>13</x:v>
      </x:c>
      <x:c r="G21" s="3" t="s">
        <x:v>13</x:v>
      </x:c>
      <x:c r="H21" s="3" t="s">
        <x:v>14</x:v>
      </x:c>
    </x:row>
    <x:row r="22" ht="48" customHeight="1">
      <x:c r="A22" s="3" t="s">
        <x:v>42</x:v>
      </x:c>
      <x:c r="B22" s="3" t="s">
        <x:v>28</x:v>
      </x:c>
      <x:c r="C22" s="3" t="s">
        <x:v>29</x:v>
      </x:c>
      <x:c r="D22" s="3">
        <x:v>15</x:v>
      </x:c>
      <x:c r="E22" s="3">
        <x:v>7</x:v>
      </x:c>
      <x:c r="F22" s="3" t="n">
        <x:f>IF(AND(ISNUMBER(D22),ISNUMBER(E22)),ROUND(D22*$K$2+E22*$K$3,0),"")</x:f>
        <x:v>13</x:v>
      </x:c>
      <x:c r="G22" s="3" t="s">
        <x:v>13</x:v>
      </x:c>
      <x:c r="H22" s="3" t="s">
        <x:v>14</x:v>
      </x:c>
    </x:row>
    <x:row r="23" ht="48" customHeight="1">
      <x:c r="A23" s="3" t="s">
        <x:v>43</x:v>
      </x:c>
      <x:c r="B23" s="3" t="s">
        <x:v>28</x:v>
      </x:c>
      <x:c r="C23" s="3" t="s">
        <x:v>29</x:v>
      </x:c>
      <x:c r="D23" s="3">
        <x:v>15</x:v>
      </x:c>
      <x:c r="E23" s="3">
        <x:v>7</x:v>
      </x:c>
      <x:c r="F23" s="3" t="n">
        <x:f>IF(AND(ISNUMBER(D23),ISNUMBER(E23)),ROUND(D23*$K$2+E23*$K$3,0),"")</x:f>
        <x:v>13</x:v>
      </x:c>
      <x:c r="G23" s="3" t="s">
        <x:v>13</x:v>
      </x:c>
      <x:c r="H23" s="3" t="s">
        <x:v>14</x:v>
      </x:c>
    </x:row>
    <x:row r="24" ht="48" customHeight="1">
      <x:c r="A24" s="3" t="s">
        <x:v>44</x:v>
      </x:c>
      <x:c r="B24" s="3" t="s">
        <x:v>45</x:v>
      </x:c>
      <x:c r="C24" s="3" t="s">
        <x:v>46</x:v>
      </x:c>
      <x:c r="D24" s="3">
        <x:v>65</x:v>
      </x:c>
      <x:c r="E24" s="3">
        <x:v>30</x:v>
      </x:c>
      <x:c r="F24" s="3" t="n">
        <x:f>IF(AND(ISNUMBER(D24),ISNUMBER(E24)),ROUND(D24*$K$2+E24*$K$3,0),"")</x:f>
        <x:v>55</x:v>
      </x:c>
      <x:c r="G24" s="3" t="s">
        <x:v>13</x:v>
      </x:c>
      <x:c r="H24" s="3" t="s">
        <x:v>14</x:v>
      </x:c>
    </x:row>
    <x:row r="25" ht="48" customHeight="1">
      <x:c r="A25" s="3" t="s">
        <x:v>47</x:v>
      </x:c>
      <x:c r="B25" s="3" t="s">
        <x:v>28</x:v>
      </x:c>
      <x:c r="C25" s="3" t="s">
        <x:v>29</x:v>
      </x:c>
      <x:c r="D25" s="3">
        <x:v>15</x:v>
      </x:c>
      <x:c r="E25" s="3">
        <x:v>7</x:v>
      </x:c>
      <x:c r="F25" s="3" t="n">
        <x:f>IF(AND(ISNUMBER(D25),ISNUMBER(E25)),ROUND(D25*$K$2+E25*$K$3,0),"")</x:f>
        <x:v>13</x:v>
      </x:c>
      <x:c r="G25" s="3" t="s">
        <x:v>13</x:v>
      </x:c>
      <x:c r="H25" s="3" t="s">
        <x:v>14</x:v>
      </x:c>
    </x:row>
    <x:row r="26" ht="48" customHeight="1">
      <x:c r="A26" s="3" t="s">
        <x:v>48</x:v>
      </x:c>
      <x:c r="B26" s="3" t="s">
        <x:v>28</x:v>
      </x:c>
      <x:c r="C26" s="3" t="s">
        <x:v>29</x:v>
      </x:c>
      <x:c r="D26" s="3">
        <x:v>15</x:v>
      </x:c>
      <x:c r="E26" s="3">
        <x:v>7</x:v>
      </x:c>
      <x:c r="F26" s="3" t="n">
        <x:f>IF(AND(ISNUMBER(D26),ISNUMBER(E26)),ROUND(D26*$K$2+E26*$K$3,0),"")</x:f>
        <x:v>13</x:v>
      </x:c>
      <x:c r="G26" s="3" t="s">
        <x:v>13</x:v>
      </x:c>
      <x:c r="H26" s="3" t="s">
        <x:v>14</x:v>
      </x:c>
    </x:row>
    <x:row r="27" ht="48" customHeight="1">
      <x:c r="A27" s="3" t="s">
        <x:v>49</x:v>
      </x:c>
      <x:c r="B27" s="3" t="s">
        <x:v>50</x:v>
      </x:c>
      <x:c r="C27" s="3" t="s">
        <x:v>51</x:v>
      </x:c>
      <x:c r="D27" s="3">
        <x:v>72</x:v>
      </x:c>
      <x:c r="E27" s="3">
        <x:v>46</x:v>
      </x:c>
      <x:c r="F27" s="3" t="n">
        <x:f>IF(AND(ISNUMBER(D27),ISNUMBER(E27)),ROUND(D27*$K$2+E27*$K$3,0),"")</x:f>
        <x:v>64</x:v>
      </x:c>
      <x:c r="G27" s="3" t="s">
        <x:v>13</x:v>
      </x:c>
      <x:c r="H27" s="3" t="s">
        <x:v>14</x:v>
      </x:c>
    </x:row>
    <x:row r="28" ht="48" customHeight="1">
      <x:c r="A28" s="3" t="s">
        <x:v>52</x:v>
      </x:c>
      <x:c r="B28" s="3" t="s">
        <x:v>53</x:v>
      </x:c>
      <x:c r="C28" s="3" t="s">
        <x:v>54</x:v>
      </x:c>
      <x:c r="D28" s="3">
        <x:v>81</x:v>
      </x:c>
      <x:c r="E28" s="3">
        <x:v>56</x:v>
      </x:c>
      <x:c r="F28" s="3" t="n">
        <x:f>IF(AND(ISNUMBER(D28),ISNUMBER(E28)),ROUND(D28*$K$2+E28*$K$3,0),"")</x:f>
        <x:v>74</x:v>
      </x:c>
      <x:c r="G28" s="3" t="s">
        <x:v>13</x:v>
      </x:c>
      <x:c r="H28" s="3" t="s">
        <x:v>14</x:v>
      </x:c>
    </x:row>
    <x:row r="29" ht="48" customHeight="1">
      <x:c r="A29" s="3" t="s">
        <x:v>55</x:v>
      </x:c>
      <x:c r="B29" s="3" t="s">
        <x:v>56</x:v>
      </x:c>
      <x:c r="C29" s="3" t="s">
        <x:v>57</x:v>
      </x:c>
      <x:c r="D29" s="3">
        <x:v>85</x:v>
      </x:c>
      <x:c r="E29" s="3">
        <x:v>73</x:v>
      </x:c>
      <x:c r="F29" s="3" t="n">
        <x:f>IF(AND(ISNUMBER(D29),ISNUMBER(E29)),ROUND(D29*$K$2+E29*$K$3,0),"")</x:f>
        <x:v>81</x:v>
      </x:c>
      <x:c r="G29" s="3" t="s">
        <x:v>13</x:v>
      </x:c>
      <x:c r="H29" s="3" t="s">
        <x:v>14</x:v>
      </x:c>
    </x:row>
    <x:row r="30" ht="48" customHeight="1">
      <x:c r="A30" s="3" t="s">
        <x:v>58</x:v>
      </x:c>
      <x:c r="B30" s="3" t="s">
        <x:v>59</x:v>
      </x:c>
      <x:c r="C30" s="3" t="s">
        <x:v>60</x:v>
      </x:c>
      <x:c r="D30" s="3">
        <x:v>39</x:v>
      </x:c>
      <x:c r="E30" s="3">
        <x:v>19</x:v>
      </x:c>
      <x:c r="F30" s="3" t="n">
        <x:f>IF(AND(ISNUMBER(D30),ISNUMBER(E30)),ROUND(D30*$K$2+E30*$K$3,0),"")</x:f>
        <x:v>33</x:v>
      </x:c>
      <x:c r="G30" s="3" t="s">
        <x:v>13</x:v>
      </x:c>
      <x:c r="H30" s="3" t="s">
        <x:v>14</x:v>
      </x:c>
    </x:row>
    <x:row r="31" ht="48" customHeight="1">
      <x:c r="A31" s="3" t="s">
        <x:v>61</x:v>
      </x:c>
      <x:c r="B31" s="3" t="s">
        <x:v>62</x:v>
      </x:c>
      <x:c r="C31" s="3" t="s">
        <x:v>63</x:v>
      </x:c>
      <x:c r="D31" s="3">
        <x:v>88</x:v>
      </x:c>
      <x:c r="E31" s="3">
        <x:v>64</x:v>
      </x:c>
      <x:c r="F31" s="3" t="n">
        <x:f>IF(AND(ISNUMBER(D31),ISNUMBER(E31)),ROUND(D31*$K$2+E31*$K$3,0),"")</x:f>
        <x:v>81</x:v>
      </x:c>
      <x:c r="G31" s="3" t="s">
        <x:v>13</x:v>
      </x:c>
      <x:c r="H31" s="3" t="s">
        <x:v>14</x:v>
      </x:c>
    </x:row>
    <x:row r="32" ht="48" customHeight="1">
      <x:c r="A32" s="3" t="s">
        <x:v>64</x:v>
      </x:c>
      <x:c r="B32" s="3" t="s">
        <x:v>65</x:v>
      </x:c>
      <x:c r="C32" s="3" t="s">
        <x:v>66</x:v>
      </x:c>
      <x:c r="D32" s="3">
        <x:v>80</x:v>
      </x:c>
      <x:c r="E32" s="3">
        <x:v>19</x:v>
      </x:c>
      <x:c r="F32" s="3" t="n">
        <x:f>IF(AND(ISNUMBER(D32),ISNUMBER(E32)),ROUND(D32*$K$2+E32*$K$3,0),"")</x:f>
        <x:v>62</x:v>
      </x:c>
      <x:c r="G32" s="3" t="s">
        <x:v>13</x:v>
      </x:c>
      <x:c r="H32" s="3" t="s">
        <x:v>14</x:v>
      </x:c>
    </x:row>
    <x:row r="33" ht="48" customHeight="1">
      <x:c r="A33" s="3" t="s">
        <x:v>67</x:v>
      </x:c>
      <x:c r="B33" s="3" t="s">
        <x:v>68</x:v>
      </x:c>
      <x:c r="C33" s="3" t="s">
        <x:v>69</x:v>
      </x:c>
      <x:c r="D33" s="3">
        <x:v>76</x:v>
      </x:c>
      <x:c r="E33" s="3">
        <x:v>53</x:v>
      </x:c>
      <x:c r="F33" s="3" t="n">
        <x:f>IF(AND(ISNUMBER(D33),ISNUMBER(E33)),ROUND(D33*$K$2+E33*$K$3,0),"")</x:f>
        <x:v>69</x:v>
      </x:c>
      <x:c r="G33" s="3" t="s">
        <x:v>13</x:v>
      </x:c>
      <x:c r="H33" s="3" t="s">
        <x:v>14</x:v>
      </x:c>
    </x:row>
    <x:row r="34" ht="48" customHeight="1">
      <x:c r="A34" s="3" t="s">
        <x:v>70</x:v>
      </x:c>
      <x:c r="B34" s="3" t="s">
        <x:v>71</x:v>
      </x:c>
      <x:c r="C34" s="3" t="s">
        <x:v>72</x:v>
      </x:c>
      <x:c r="D34" s="3">
        <x:v>95</x:v>
      </x:c>
      <x:c r="E34" s="3">
        <x:v>91</x:v>
      </x:c>
      <x:c r="F34" s="3" t="n">
        <x:f>IF(AND(ISNUMBER(D34),ISNUMBER(E34)),ROUND(D34*$K$2+E34*$K$3,0),"")</x:f>
        <x:v>94</x:v>
      </x:c>
      <x:c r="G34" s="3" t="s">
        <x:v>13</x:v>
      </x:c>
      <x:c r="H34" s="3" t="s">
        <x:v>14</x:v>
      </x:c>
    </x:row>
    <x:row r="35" ht="48" customHeight="1">
      <x:c r="A35" s="3" t="s">
        <x:v>73</x:v>
      </x:c>
      <x:c r="B35" s="3" t="s">
        <x:v>74</x:v>
      </x:c>
      <x:c r="C35" s="3" t="s">
        <x:v>75</x:v>
      </x:c>
      <x:c r="D35" s="3">
        <x:v>49</x:v>
      </x:c>
      <x:c r="E35" s="3">
        <x:v>12</x:v>
      </x:c>
      <x:c r="F35" s="3" t="n">
        <x:f>IF(AND(ISNUMBER(D35),ISNUMBER(E35)),ROUND(D35*$K$2+E35*$K$3,0),"")</x:f>
        <x:v>38</x:v>
      </x:c>
      <x:c r="G35" s="3" t="s">
        <x:v>13</x:v>
      </x:c>
      <x:c r="H35" s="3" t="s">
        <x:v>14</x:v>
      </x:c>
    </x:row>
    <x:row r="36" ht="48" customHeight="1">
      <x:c r="A36" s="3" t="s">
        <x:v>76</x:v>
      </x:c>
      <x:c r="B36" s="3" t="s">
        <x:v>77</x:v>
      </x:c>
      <x:c r="C36" s="3" t="s">
        <x:v>78</x:v>
      </x:c>
      <x:c r="D36" s="3">
        <x:v>70</x:v>
      </x:c>
      <x:c r="E36" s="3">
        <x:v>28</x:v>
      </x:c>
      <x:c r="F36" s="3" t="n">
        <x:f>IF(AND(ISNUMBER(D36),ISNUMBER(E36)),ROUND(D36*$K$2+E36*$K$3,0),"")</x:f>
        <x:v>57</x:v>
      </x:c>
      <x:c r="G36" s="3" t="s">
        <x:v>13</x:v>
      </x:c>
      <x:c r="H36" s="3" t="s">
        <x:v>14</x:v>
      </x:c>
    </x:row>
  </x:sheetData>
  <x:pageMargins left="0.7" right="0.7" top="0.75" bottom="0.75" header="0.3" footer="0.3"/>
  <x:tableParts count="1">
    <x:tablePart xmlns:r="http://schemas.openxmlformats.org/officeDocument/2006/relationships" r:id="R990072c303874ac8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ColWidth="8.796875" defaultRowHeight="15"/>
  <x:cols>
    <x:col min="1" max="1" width="22" style="2" customWidth="1"/>
    <x:col min="2" max="2" width="16" style="2" customWidth="1"/>
    <x:col min="3" max="12" width="18" style="2" customWidth="1"/>
    <x:col min="13" max="13" width="12" style="2" customWidth="1"/>
    <x:col min="14" max="14" width="14" style="2" customWidth="1"/>
    <x:col min="15" max="15" width="16" style="2" customWidth="1"/>
    <x:col min="16" max="16" width="19" style="2" customWidth="1"/>
    <x:col min="17" max="18" width="80" style="2" customWidth="1"/>
  </x:cols>
  <x:sheetData>
    <x:row r="1" ht="42" customHeight="1">
      <x:c r="A1" s="4" t="s">
        <x:v>0</x:v>
      </x:c>
      <x:c r="B1" s="4" t="s">
        <x:v>79</x:v>
      </x:c>
      <x:c r="C1" s="4" t="s">
        <x:v>80</x:v>
      </x:c>
      <x:c r="D1" s="4" t="s">
        <x:v>81</x:v>
      </x:c>
      <x:c r="E1" s="4" t="s">
        <x:v>82</x:v>
      </x:c>
      <x:c r="F1" s="4" t="s">
        <x:v>83</x:v>
      </x:c>
      <x:c r="G1" s="4" t="s">
        <x:v>84</x:v>
      </x:c>
      <x:c r="H1" s="4" t="s">
        <x:v>85</x:v>
      </x:c>
      <x:c r="I1" s="4" t="s">
        <x:v>86</x:v>
      </x:c>
      <x:c r="J1" s="4" t="s">
        <x:v>87</x:v>
      </x:c>
      <x:c r="K1" s="4" t="s">
        <x:v>88</x:v>
      </x:c>
      <x:c r="L1" s="4" t="s">
        <x:v>89</x:v>
      </x:c>
      <x:c r="M1" s="4" t="s">
        <x:v>90</x:v>
      </x:c>
      <x:c r="N1" s="4" t="s">
        <x:v>91</x:v>
      </x:c>
      <x:c r="O1" s="4" t="s">
        <x:v>92</x:v>
      </x:c>
      <x:c r="P1" s="4" t="s">
        <x:v>93</x:v>
      </x:c>
      <x:c r="Q1" s="4" t="s">
        <x:v>94</x:v>
      </x:c>
      <x:c r="R1" s="4" t="s">
        <x:v>95</x:v>
      </x:c>
    </x:row>
    <x:row r="2" ht="66" customHeight="1">
      <x:c r="A2" s="3" t="s">
        <x:v>10</x:v>
      </x:c>
      <x:c r="B2" s="3" t="s">
        <x:v>96</x:v>
      </x:c>
      <x:c r="C2" s="3" t="s">
        <x:v>97</x:v>
      </x:c>
      <x:c r="D2" s="3" t="s">
        <x:v>97</x:v>
      </x:c>
      <x:c r="E2" s="3" t="s">
        <x:v>97</x:v>
      </x:c>
      <x:c r="F2" s="3" t="s">
        <x:v>97</x:v>
      </x:c>
      <x:c r="G2" s="3" t="s">
        <x:v>97</x:v>
      </x:c>
      <x:c r="H2" s="3" t="s">
        <x:v>97</x:v>
      </x:c>
      <x:c r="I2" s="3" t="s">
        <x:v>97</x:v>
      </x:c>
      <x:c r="J2" s="3" t="s">
        <x:v>97</x:v>
      </x:c>
      <x:c r="K2" s="3" t="s">
        <x:v>97</x:v>
      </x:c>
      <x:c r="L2" s="3" t="s">
        <x:v>97</x:v>
      </x:c>
      <x:c r="M2" s="3" t="n">
        <x:f>COUNTIFS(C2:L2,"충족")</x:f>
        <x:v>10</x:v>
      </x:c>
      <x:c r="N2" s="8" t="n">
        <x:f>M2/10</x:f>
        <x:v>1</x:v>
      </x:c>
      <x:c r="O2" s="3" t="n">
        <x:f>COUNTIFS(C2:L2,"확인불가")</x:f>
        <x:v>0</x:v>
      </x:c>
      <x:c r="P2" s="3" t="s">
        <x:v>98</x:v>
      </x:c>
      <x:c r="Q2" s="3" t="s">
        <x:v>99</x:v>
      </x:c>
      <x:c r="R2" s="3" t="s">
        <x:v>100</x:v>
      </x:c>
    </x:row>
    <x:row r="3" ht="66" customHeight="1">
      <x:c r="A3" s="3" t="s">
        <x:v>15</x:v>
      </x:c>
      <x:c r="B3" s="3" t="s">
        <x:v>101</x:v>
      </x:c>
      <x:c r="C3" s="3" t="s">
        <x:v>97</x:v>
      </x:c>
      <x:c r="D3" s="3" t="s">
        <x:v>97</x:v>
      </x:c>
      <x:c r="E3" s="3" t="s">
        <x:v>102</x:v>
      </x:c>
      <x:c r="F3" s="3" t="s">
        <x:v>102</x:v>
      </x:c>
      <x:c r="G3" s="3" t="s">
        <x:v>97</x:v>
      </x:c>
      <x:c r="H3" s="3" t="s">
        <x:v>102</x:v>
      </x:c>
      <x:c r="I3" s="3" t="s">
        <x:v>102</x:v>
      </x:c>
      <x:c r="J3" s="3" t="s">
        <x:v>102</x:v>
      </x:c>
      <x:c r="K3" s="3" t="s">
        <x:v>97</x:v>
      </x:c>
      <x:c r="L3" s="3" t="s">
        <x:v>97</x:v>
      </x:c>
      <x:c r="M3" s="3" t="n">
        <x:f>COUNTIFS(C3:L3,"충족")</x:f>
        <x:v>5</x:v>
      </x:c>
      <x:c r="N3" s="8" t="n">
        <x:f>M3/10</x:f>
        <x:v>0.5</x:v>
      </x:c>
      <x:c r="O3" s="3" t="n">
        <x:f>COUNTIFS(C3:L3,"확인불가")</x:f>
        <x:v>0</x:v>
      </x:c>
      <x:c r="P3" s="3" t="s">
        <x:v>103</x:v>
      </x:c>
      <x:c r="Q3" s="3" t="s">
        <x:v>99</x:v>
      </x:c>
      <x:c r="R3" s="3" t="s">
        <x:v>100</x:v>
      </x:c>
    </x:row>
    <x:row r="4" ht="66" customHeight="1">
      <x:c r="A4" s="3" t="s">
        <x:v>17</x:v>
      </x:c>
      <x:c r="B4" s="3" t="s">
        <x:v>104</x:v>
      </x:c>
      <x:c r="C4" s="3" t="s">
        <x:v>105</x:v>
      </x:c>
      <x:c r="D4" s="3" t="s">
        <x:v>97</x:v>
      </x:c>
      <x:c r="E4" s="3" t="s">
        <x:v>97</x:v>
      </x:c>
      <x:c r="F4" s="3" t="s">
        <x:v>97</x:v>
      </x:c>
      <x:c r="G4" s="3" t="s">
        <x:v>97</x:v>
      </x:c>
      <x:c r="H4" s="3" t="s">
        <x:v>97</x:v>
      </x:c>
      <x:c r="I4" s="3" t="s">
        <x:v>102</x:v>
      </x:c>
      <x:c r="J4" s="3" t="s">
        <x:v>105</x:v>
      </x:c>
      <x:c r="K4" s="3" t="s">
        <x:v>102</x:v>
      </x:c>
      <x:c r="L4" s="3" t="s">
        <x:v>102</x:v>
      </x:c>
      <x:c r="M4" s="3" t="n">
        <x:f>COUNTIFS(C4:L4,"충족")</x:f>
        <x:v>5</x:v>
      </x:c>
      <x:c r="N4" s="8" t="n">
        <x:f>M4/10</x:f>
        <x:v>0.5</x:v>
      </x:c>
      <x:c r="O4" s="3" t="n">
        <x:f>COUNTIFS(C4:L4,"확인불가")</x:f>
        <x:v>2</x:v>
      </x:c>
      <x:c r="P4" s="3" t="s">
        <x:v>106</x:v>
      </x:c>
      <x:c r="Q4" s="3" t="s">
        <x:v>107</x:v>
      </x:c>
      <x:c r="R4" s="3" t="s">
        <x:v>100</x:v>
      </x:c>
    </x:row>
    <x:row r="5" ht="66" customHeight="1">
      <x:c r="A5" s="3" t="s">
        <x:v>21</x:v>
      </x:c>
      <x:c r="B5" s="3" t="s">
        <x:v>96</x:v>
      </x:c>
      <x:c r="C5" s="3" t="s">
        <x:v>97</x:v>
      </x:c>
      <x:c r="D5" s="3" t="s">
        <x:v>97</x:v>
      </x:c>
      <x:c r="E5" s="3" t="s">
        <x:v>97</x:v>
      </x:c>
      <x:c r="F5" s="3" t="s">
        <x:v>97</x:v>
      </x:c>
      <x:c r="G5" s="3" t="s">
        <x:v>97</x:v>
      </x:c>
      <x:c r="H5" s="3" t="s">
        <x:v>97</x:v>
      </x:c>
      <x:c r="I5" s="3" t="s">
        <x:v>97</x:v>
      </x:c>
      <x:c r="J5" s="3" t="s">
        <x:v>97</x:v>
      </x:c>
      <x:c r="K5" s="3" t="s">
        <x:v>97</x:v>
      </x:c>
      <x:c r="L5" s="3" t="s">
        <x:v>97</x:v>
      </x:c>
      <x:c r="M5" s="3" t="n">
        <x:f>COUNTIFS(C5:L5,"충족")</x:f>
        <x:v>10</x:v>
      </x:c>
      <x:c r="N5" s="8" t="n">
        <x:f>M5/10</x:f>
        <x:v>1</x:v>
      </x:c>
      <x:c r="O5" s="3" t="n">
        <x:f>COUNTIFS(C5:L5,"확인불가")</x:f>
        <x:v>0</x:v>
      </x:c>
      <x:c r="P5" s="3" t="s">
        <x:v>98</x:v>
      </x:c>
      <x:c r="Q5" s="3" t="s">
        <x:v>99</x:v>
      </x:c>
      <x:c r="R5" s="3" t="s">
        <x:v>100</x:v>
      </x:c>
    </x:row>
    <x:row r="6" ht="66" customHeight="1">
      <x:c r="A6" s="3" t="s">
        <x:v>23</x:v>
      </x:c>
      <x:c r="B6" s="3" t="s">
        <x:v>96</x:v>
      </x:c>
      <x:c r="C6" s="3" t="s">
        <x:v>97</x:v>
      </x:c>
      <x:c r="D6" s="3" t="s">
        <x:v>97</x:v>
      </x:c>
      <x:c r="E6" s="3" t="s">
        <x:v>97</x:v>
      </x:c>
      <x:c r="F6" s="3" t="s">
        <x:v>97</x:v>
      </x:c>
      <x:c r="G6" s="3" t="s">
        <x:v>97</x:v>
      </x:c>
      <x:c r="H6" s="3" t="s">
        <x:v>97</x:v>
      </x:c>
      <x:c r="I6" s="3" t="s">
        <x:v>97</x:v>
      </x:c>
      <x:c r="J6" s="3" t="s">
        <x:v>97</x:v>
      </x:c>
      <x:c r="K6" s="3" t="s">
        <x:v>97</x:v>
      </x:c>
      <x:c r="L6" s="3" t="s">
        <x:v>97</x:v>
      </x:c>
      <x:c r="M6" s="3" t="n">
        <x:f>COUNTIFS(C6:L6,"충족")</x:f>
        <x:v>10</x:v>
      </x:c>
      <x:c r="N6" s="8" t="n">
        <x:f>M6/10</x:f>
        <x:v>1</x:v>
      </x:c>
      <x:c r="O6" s="3" t="n">
        <x:f>COUNTIFS(C6:L6,"확인불가")</x:f>
        <x:v>0</x:v>
      </x:c>
      <x:c r="P6" s="3" t="s">
        <x:v>98</x:v>
      </x:c>
      <x:c r="Q6" s="3" t="s">
        <x:v>99</x:v>
      </x:c>
      <x:c r="R6" s="3" t="s">
        <x:v>100</x:v>
      </x:c>
    </x:row>
    <x:row r="7" ht="66" customHeight="1">
      <x:c r="A7" s="3" t="s">
        <x:v>25</x:v>
      </x:c>
      <x:c r="B7" s="3" t="s">
        <x:v>101</x:v>
      </x:c>
      <x:c r="C7" s="3" t="s">
        <x:v>97</x:v>
      </x:c>
      <x:c r="D7" s="3" t="s">
        <x:v>97</x:v>
      </x:c>
      <x:c r="E7" s="3" t="s">
        <x:v>97</x:v>
      </x:c>
      <x:c r="F7" s="3" t="s">
        <x:v>97</x:v>
      </x:c>
      <x:c r="G7" s="3" t="s">
        <x:v>102</x:v>
      </x:c>
      <x:c r="H7" s="3" t="s">
        <x:v>97</x:v>
      </x:c>
      <x:c r="I7" s="3" t="s">
        <x:v>102</x:v>
      </x:c>
      <x:c r="J7" s="3" t="s">
        <x:v>102</x:v>
      </x:c>
      <x:c r="K7" s="3" t="s">
        <x:v>102</x:v>
      </x:c>
      <x:c r="L7" s="3" t="s">
        <x:v>102</x:v>
      </x:c>
      <x:c r="M7" s="3" t="n">
        <x:f>COUNTIFS(C7:L7,"충족")</x:f>
        <x:v>5</x:v>
      </x:c>
      <x:c r="N7" s="8" t="n">
        <x:f>M7/10</x:f>
        <x:v>0.5</x:v>
      </x:c>
      <x:c r="O7" s="3" t="n">
        <x:f>COUNTIFS(C7:L7,"확인불가")</x:f>
        <x:v>0</x:v>
      </x:c>
      <x:c r="P7" s="3" t="s">
        <x:v>108</x:v>
      </x:c>
      <x:c r="Q7" s="3" t="s">
        <x:v>99</x:v>
      </x:c>
      <x:c r="R7" s="3" t="s">
        <x:v>100</x:v>
      </x:c>
    </x:row>
    <x:row r="8" ht="66" customHeight="1">
      <x:c r="A8" s="3" t="s">
        <x:v>26</x:v>
      </x:c>
      <x:c r="B8" s="3" t="s">
        <x:v>101</x:v>
      </x:c>
      <x:c r="C8" s="3" t="s">
        <x:v>97</x:v>
      </x:c>
      <x:c r="D8" s="3" t="s">
        <x:v>102</x:v>
      </x:c>
      <x:c r="E8" s="3" t="s">
        <x:v>97</x:v>
      </x:c>
      <x:c r="F8" s="3" t="s">
        <x:v>102</x:v>
      </x:c>
      <x:c r="G8" s="3" t="s">
        <x:v>97</x:v>
      </x:c>
      <x:c r="H8" s="3" t="s">
        <x:v>102</x:v>
      </x:c>
      <x:c r="I8" s="3" t="s">
        <x:v>97</x:v>
      </x:c>
      <x:c r="J8" s="3" t="s">
        <x:v>97</x:v>
      </x:c>
      <x:c r="K8" s="3" t="s">
        <x:v>102</x:v>
      </x:c>
      <x:c r="L8" s="3" t="s">
        <x:v>102</x:v>
      </x:c>
      <x:c r="M8" s="3" t="n">
        <x:f>COUNTIFS(C8:L8,"충족")</x:f>
        <x:v>5</x:v>
      </x:c>
      <x:c r="N8" s="8" t="n">
        <x:f>M8/10</x:f>
        <x:v>0.5</x:v>
      </x:c>
      <x:c r="O8" s="3" t="n">
        <x:f>COUNTIFS(C8:L8,"확인불가")</x:f>
        <x:v>0</x:v>
      </x:c>
      <x:c r="P8" s="3" t="s">
        <x:v>109</x:v>
      </x:c>
      <x:c r="Q8" s="3" t="s">
        <x:v>99</x:v>
      </x:c>
      <x:c r="R8" s="3" t="s">
        <x:v>100</x:v>
      </x:c>
    </x:row>
    <x:row r="9" ht="66" customHeight="1">
      <x:c r="A9" s="3" t="s">
        <x:v>27</x:v>
      </x:c>
      <x:c r="B9" s="3" t="s">
        <x:v>101</x:v>
      </x:c>
      <x:c r="C9" s="3" t="s">
        <x:v>102</x:v>
      </x:c>
      <x:c r="D9" s="3" t="s">
        <x:v>97</x:v>
      </x:c>
      <x:c r="E9" s="3" t="s">
        <x:v>102</x:v>
      </x:c>
      <x:c r="F9" s="3" t="s">
        <x:v>97</x:v>
      </x:c>
      <x:c r="G9" s="3" t="s">
        <x:v>97</x:v>
      </x:c>
      <x:c r="H9" s="3" t="s">
        <x:v>102</x:v>
      </x:c>
      <x:c r="I9" s="3" t="s">
        <x:v>102</x:v>
      </x:c>
      <x:c r="J9" s="3" t="s">
        <x:v>97</x:v>
      </x:c>
      <x:c r="K9" s="3" t="s">
        <x:v>97</x:v>
      </x:c>
      <x:c r="L9" s="3" t="s">
        <x:v>102</x:v>
      </x:c>
      <x:c r="M9" s="3" t="n">
        <x:f>COUNTIFS(C9:L9,"충족")</x:f>
        <x:v>5</x:v>
      </x:c>
      <x:c r="N9" s="8" t="n">
        <x:f>M9/10</x:f>
        <x:v>0.5</x:v>
      </x:c>
      <x:c r="O9" s="3" t="n">
        <x:f>COUNTIFS(C9:L9,"확인불가")</x:f>
        <x:v>0</x:v>
      </x:c>
      <x:c r="P9" s="3" t="s">
        <x:v>110</x:v>
      </x:c>
      <x:c r="Q9" s="3" t="s">
        <x:v>99</x:v>
      </x:c>
      <x:c r="R9" s="3" t="s">
        <x:v>100</x:v>
      </x:c>
    </x:row>
    <x:row r="10" ht="66" customHeight="1">
      <x:c r="A10" s="3" t="s">
        <x:v>30</x:v>
      </x:c>
      <x:c r="B10" s="3" t="s">
        <x:v>101</x:v>
      </x:c>
      <x:c r="C10" s="3" t="s">
        <x:v>97</x:v>
      </x:c>
      <x:c r="D10" s="3" t="s">
        <x:v>97</x:v>
      </x:c>
      <x:c r="E10" s="3" t="s">
        <x:v>102</x:v>
      </x:c>
      <x:c r="F10" s="3" t="s">
        <x:v>102</x:v>
      </x:c>
      <x:c r="G10" s="3" t="s">
        <x:v>102</x:v>
      </x:c>
      <x:c r="H10" s="3" t="s">
        <x:v>97</x:v>
      </x:c>
      <x:c r="I10" s="3" t="s">
        <x:v>97</x:v>
      </x:c>
      <x:c r="J10" s="3" t="s">
        <x:v>102</x:v>
      </x:c>
      <x:c r="K10" s="3" t="s">
        <x:v>102</x:v>
      </x:c>
      <x:c r="L10" s="3" t="s">
        <x:v>97</x:v>
      </x:c>
      <x:c r="M10" s="3" t="n">
        <x:f>COUNTIFS(C10:L10,"충족")</x:f>
        <x:v>5</x:v>
      </x:c>
      <x:c r="N10" s="8" t="n">
        <x:f>M10/10</x:f>
        <x:v>0.5</x:v>
      </x:c>
      <x:c r="O10" s="3" t="n">
        <x:f>COUNTIFS(C10:L10,"확인불가")</x:f>
        <x:v>0</x:v>
      </x:c>
      <x:c r="P10" s="3" t="s">
        <x:v>111</x:v>
      </x:c>
      <x:c r="Q10" s="3" t="s">
        <x:v>99</x:v>
      </x:c>
      <x:c r="R10" s="3" t="s">
        <x:v>100</x:v>
      </x:c>
    </x:row>
    <x:row r="11" ht="66" customHeight="1">
      <x:c r="A11" s="3" t="s">
        <x:v>31</x:v>
      </x:c>
      <x:c r="B11" s="3" t="s">
        <x:v>101</x:v>
      </x:c>
      <x:c r="C11" s="3" t="s">
        <x:v>102</x:v>
      </x:c>
      <x:c r="D11" s="3" t="s">
        <x:v>102</x:v>
      </x:c>
      <x:c r="E11" s="3" t="s">
        <x:v>97</x:v>
      </x:c>
      <x:c r="F11" s="3" t="s">
        <x:v>97</x:v>
      </x:c>
      <x:c r="G11" s="3" t="s">
        <x:v>102</x:v>
      </x:c>
      <x:c r="H11" s="3" t="s">
        <x:v>97</x:v>
      </x:c>
      <x:c r="I11" s="3" t="s">
        <x:v>102</x:v>
      </x:c>
      <x:c r="J11" s="3" t="s">
        <x:v>97</x:v>
      </x:c>
      <x:c r="K11" s="3" t="s">
        <x:v>102</x:v>
      </x:c>
      <x:c r="L11" s="3" t="s">
        <x:v>97</x:v>
      </x:c>
      <x:c r="M11" s="3" t="n">
        <x:f>COUNTIFS(C11:L11,"충족")</x:f>
        <x:v>5</x:v>
      </x:c>
      <x:c r="N11" s="8" t="n">
        <x:f>M11/10</x:f>
        <x:v>0.5</x:v>
      </x:c>
      <x:c r="O11" s="3" t="n">
        <x:f>COUNTIFS(C11:L11,"확인불가")</x:f>
        <x:v>0</x:v>
      </x:c>
      <x:c r="P11" s="3" t="s">
        <x:v>112</x:v>
      </x:c>
      <x:c r="Q11" s="3" t="s">
        <x:v>99</x:v>
      </x:c>
      <x:c r="R11" s="3" t="s">
        <x:v>100</x:v>
      </x:c>
    </x:row>
    <x:row r="12" ht="66" customHeight="1">
      <x:c r="A12" s="3" t="s">
        <x:v>32</x:v>
      </x:c>
      <x:c r="B12" s="3" t="s">
        <x:v>104</x:v>
      </x:c>
      <x:c r="C12" s="3" t="s">
        <x:v>97</x:v>
      </x:c>
      <x:c r="D12" s="3" t="s">
        <x:v>97</x:v>
      </x:c>
      <x:c r="E12" s="3" t="s">
        <x:v>97</x:v>
      </x:c>
      <x:c r="F12" s="3" t="s">
        <x:v>105</x:v>
      </x:c>
      <x:c r="G12" s="3" t="s">
        <x:v>97</x:v>
      </x:c>
      <x:c r="H12" s="3" t="s">
        <x:v>102</x:v>
      </x:c>
      <x:c r="I12" s="3" t="s">
        <x:v>105</x:v>
      </x:c>
      <x:c r="J12" s="3" t="s">
        <x:v>102</x:v>
      </x:c>
      <x:c r="K12" s="3" t="s">
        <x:v>97</x:v>
      </x:c>
      <x:c r="L12" s="3" t="s">
        <x:v>105</x:v>
      </x:c>
      <x:c r="M12" s="3" t="n">
        <x:f>COUNTIFS(C12:L12,"충족")</x:f>
        <x:v>5</x:v>
      </x:c>
      <x:c r="N12" s="8" t="n">
        <x:f>M12/10</x:f>
        <x:v>0.5</x:v>
      </x:c>
      <x:c r="O12" s="3" t="n">
        <x:f>COUNTIFS(C12:L12,"확인불가")</x:f>
        <x:v>3</x:v>
      </x:c>
      <x:c r="P12" s="3" t="s">
        <x:v>113</x:v>
      </x:c>
      <x:c r="Q12" s="3" t="s">
        <x:v>114</x:v>
      </x:c>
      <x:c r="R12" s="3" t="s">
        <x:v>100</x:v>
      </x:c>
    </x:row>
    <x:row r="13" ht="66" customHeight="1">
      <x:c r="A13" s="3" t="s">
        <x:v>33</x:v>
      </x:c>
      <x:c r="B13" s="3" t="s">
        <x:v>104</x:v>
      </x:c>
      <x:c r="C13" s="3" t="s">
        <x:v>97</x:v>
      </x:c>
      <x:c r="D13" s="3" t="s">
        <x:v>97</x:v>
      </x:c>
      <x:c r="E13" s="3" t="s">
        <x:v>105</x:v>
      </x:c>
      <x:c r="F13" s="3" t="s">
        <x:v>97</x:v>
      </x:c>
      <x:c r="G13" s="3" t="s">
        <x:v>102</x:v>
      </x:c>
      <x:c r="H13" s="3" t="s">
        <x:v>97</x:v>
      </x:c>
      <x:c r="I13" s="3" t="s">
        <x:v>102</x:v>
      </x:c>
      <x:c r="J13" s="3" t="s">
        <x:v>97</x:v>
      </x:c>
      <x:c r="K13" s="3" t="s">
        <x:v>102</x:v>
      </x:c>
      <x:c r="L13" s="3" t="s">
        <x:v>105</x:v>
      </x:c>
      <x:c r="M13" s="3" t="n">
        <x:f>COUNTIFS(C13:L13,"충족")</x:f>
        <x:v>5</x:v>
      </x:c>
      <x:c r="N13" s="8" t="n">
        <x:f>M13/10</x:f>
        <x:v>0.5</x:v>
      </x:c>
      <x:c r="O13" s="3" t="n">
        <x:f>COUNTIFS(C13:L13,"확인불가")</x:f>
        <x:v>2</x:v>
      </x:c>
      <x:c r="P13" s="3" t="s">
        <x:v>115</x:v>
      </x:c>
      <x:c r="Q13" s="3" t="s">
        <x:v>116</x:v>
      </x:c>
      <x:c r="R13" s="3" t="s">
        <x:v>100</x:v>
      </x:c>
    </x:row>
    <x:row r="14" ht="66" customHeight="1">
      <x:c r="A14" s="3" t="s">
        <x:v>34</x:v>
      </x:c>
      <x:c r="B14" s="3" t="s">
        <x:v>104</x:v>
      </x:c>
      <x:c r="C14" s="3" t="s">
        <x:v>105</x:v>
      </x:c>
      <x:c r="D14" s="3" t="s">
        <x:v>97</x:v>
      </x:c>
      <x:c r="E14" s="3" t="s">
        <x:v>97</x:v>
      </x:c>
      <x:c r="F14" s="3" t="s">
        <x:v>102</x:v>
      </x:c>
      <x:c r="G14" s="3" t="s">
        <x:v>97</x:v>
      </x:c>
      <x:c r="H14" s="3" t="s">
        <x:v>102</x:v>
      </x:c>
      <x:c r="I14" s="3" t="s">
        <x:v>97</x:v>
      </x:c>
      <x:c r="J14" s="3" t="s">
        <x:v>105</x:v>
      </x:c>
      <x:c r="K14" s="3" t="s">
        <x:v>97</x:v>
      </x:c>
      <x:c r="L14" s="3" t="s">
        <x:v>102</x:v>
      </x:c>
      <x:c r="M14" s="3" t="n">
        <x:f>COUNTIFS(C14:L14,"충족")</x:f>
        <x:v>5</x:v>
      </x:c>
      <x:c r="N14" s="8" t="n">
        <x:f>M14/10</x:f>
        <x:v>0.5</x:v>
      </x:c>
      <x:c r="O14" s="3" t="n">
        <x:f>COUNTIFS(C14:L14,"확인불가")</x:f>
        <x:v>2</x:v>
      </x:c>
      <x:c r="P14" s="3" t="s">
        <x:v>117</x:v>
      </x:c>
      <x:c r="Q14" s="3" t="s">
        <x:v>107</x:v>
      </x:c>
      <x:c r="R14" s="3" t="s">
        <x:v>100</x:v>
      </x:c>
    </x:row>
    <x:row r="15" ht="66" customHeight="1">
      <x:c r="A15" s="3" t="s">
        <x:v>35</x:v>
      </x:c>
      <x:c r="B15" s="3" t="s">
        <x:v>104</x:v>
      </x:c>
      <x:c r="C15" s="3" t="s">
        <x:v>97</x:v>
      </x:c>
      <x:c r="D15" s="3" t="s">
        <x:v>105</x:v>
      </x:c>
      <x:c r="E15" s="3" t="s">
        <x:v>97</x:v>
      </x:c>
      <x:c r="F15" s="3" t="s">
        <x:v>97</x:v>
      </x:c>
      <x:c r="G15" s="3" t="s">
        <x:v>97</x:v>
      </x:c>
      <x:c r="H15" s="3" t="s">
        <x:v>102</x:v>
      </x:c>
      <x:c r="I15" s="3" t="s">
        <x:v>105</x:v>
      </x:c>
      <x:c r="J15" s="3" t="s">
        <x:v>102</x:v>
      </x:c>
      <x:c r="K15" s="3" t="s">
        <x:v>102</x:v>
      </x:c>
      <x:c r="L15" s="3" t="s">
        <x:v>97</x:v>
      </x:c>
      <x:c r="M15" s="3" t="n">
        <x:f>COUNTIFS(C15:L15,"충족")</x:f>
        <x:v>5</x:v>
      </x:c>
      <x:c r="N15" s="8" t="n">
        <x:f>M15/10</x:f>
        <x:v>0.5</x:v>
      </x:c>
      <x:c r="O15" s="3" t="n">
        <x:f>COUNTIFS(C15:L15,"확인불가")</x:f>
        <x:v>2</x:v>
      </x:c>
      <x:c r="P15" s="3" t="s">
        <x:v>118</x:v>
      </x:c>
      <x:c r="Q15" s="3" t="s">
        <x:v>119</x:v>
      </x:c>
      <x:c r="R15" s="3" t="s">
        <x:v>100</x:v>
      </x:c>
    </x:row>
    <x:row r="16" ht="66" customHeight="1">
      <x:c r="A16" s="3" t="s">
        <x:v>36</x:v>
      </x:c>
      <x:c r="B16" s="3" t="s">
        <x:v>104</x:v>
      </x:c>
      <x:c r="C16" s="3" t="s">
        <x:v>97</x:v>
      </x:c>
      <x:c r="D16" s="3" t="s">
        <x:v>97</x:v>
      </x:c>
      <x:c r="E16" s="3" t="s">
        <x:v>102</x:v>
      </x:c>
      <x:c r="F16" s="3" t="s">
        <x:v>105</x:v>
      </x:c>
      <x:c r="G16" s="3" t="s">
        <x:v>102</x:v>
      </x:c>
      <x:c r="H16" s="3" t="s">
        <x:v>97</x:v>
      </x:c>
      <x:c r="I16" s="3" t="s">
        <x:v>105</x:v>
      </x:c>
      <x:c r="J16" s="3" t="s">
        <x:v>97</x:v>
      </x:c>
      <x:c r="K16" s="3" t="s">
        <x:v>102</x:v>
      </x:c>
      <x:c r="L16" s="3" t="s">
        <x:v>97</x:v>
      </x:c>
      <x:c r="M16" s="3" t="n">
        <x:f>COUNTIFS(C16:L16,"충족")</x:f>
        <x:v>5</x:v>
      </x:c>
      <x:c r="N16" s="8" t="n">
        <x:f>M16/10</x:f>
        <x:v>0.5</x:v>
      </x:c>
      <x:c r="O16" s="3" t="n">
        <x:f>COUNTIFS(C16:L16,"확인불가")</x:f>
        <x:v>2</x:v>
      </x:c>
      <x:c r="P16" s="3" t="s">
        <x:v>120</x:v>
      </x:c>
      <x:c r="Q16" s="3" t="s">
        <x:v>121</x:v>
      </x:c>
      <x:c r="R16" s="3" t="s">
        <x:v>100</x:v>
      </x:c>
    </x:row>
    <x:row r="17" ht="66" customHeight="1">
      <x:c r="A17" s="3" t="s">
        <x:v>37</x:v>
      </x:c>
      <x:c r="B17" s="3" t="s">
        <x:v>104</x:v>
      </x:c>
      <x:c r="C17" s="3" t="s">
        <x:v>105</x:v>
      </x:c>
      <x:c r="D17" s="3" t="s">
        <x:v>97</x:v>
      </x:c>
      <x:c r="E17" s="3" t="s">
        <x:v>102</x:v>
      </x:c>
      <x:c r="F17" s="3" t="s">
        <x:v>97</x:v>
      </x:c>
      <x:c r="G17" s="3" t="s">
        <x:v>97</x:v>
      </x:c>
      <x:c r="H17" s="3" t="s">
        <x:v>102</x:v>
      </x:c>
      <x:c r="I17" s="3" t="s">
        <x:v>97</x:v>
      </x:c>
      <x:c r="J17" s="3" t="s">
        <x:v>97</x:v>
      </x:c>
      <x:c r="K17" s="3" t="s">
        <x:v>102</x:v>
      </x:c>
      <x:c r="L17" s="3" t="s">
        <x:v>105</x:v>
      </x:c>
      <x:c r="M17" s="3" t="n">
        <x:f>COUNTIFS(C17:L17,"충족")</x:f>
        <x:v>5</x:v>
      </x:c>
      <x:c r="N17" s="8" t="n">
        <x:f>M17/10</x:f>
        <x:v>0.5</x:v>
      </x:c>
      <x:c r="O17" s="3" t="n">
        <x:f>COUNTIFS(C17:L17,"확인불가")</x:f>
        <x:v>2</x:v>
      </x:c>
      <x:c r="P17" s="3" t="s">
        <x:v>122</x:v>
      </x:c>
      <x:c r="Q17" s="3" t="s">
        <x:v>123</x:v>
      </x:c>
      <x:c r="R17" s="3" t="s">
        <x:v>100</x:v>
      </x:c>
    </x:row>
    <x:row r="18" ht="66" customHeight="1">
      <x:c r="A18" s="3" t="s">
        <x:v>38</x:v>
      </x:c>
      <x:c r="B18" s="3" t="s">
        <x:v>104</x:v>
      </x:c>
      <x:c r="C18" s="3" t="s">
        <x:v>97</x:v>
      </x:c>
      <x:c r="D18" s="3" t="s">
        <x:v>102</x:v>
      </x:c>
      <x:c r="E18" s="3" t="s">
        <x:v>97</x:v>
      </x:c>
      <x:c r="F18" s="3" t="s">
        <x:v>105</x:v>
      </x:c>
      <x:c r="G18" s="3" t="s">
        <x:v>102</x:v>
      </x:c>
      <x:c r="H18" s="3" t="s">
        <x:v>97</x:v>
      </x:c>
      <x:c r="I18" s="3" t="s">
        <x:v>102</x:v>
      </x:c>
      <x:c r="J18" s="3" t="s">
        <x:v>105</x:v>
      </x:c>
      <x:c r="K18" s="3" t="s">
        <x:v>97</x:v>
      </x:c>
      <x:c r="L18" s="3" t="s">
        <x:v>97</x:v>
      </x:c>
      <x:c r="M18" s="3" t="n">
        <x:f>COUNTIFS(C18:L18,"충족")</x:f>
        <x:v>5</x:v>
      </x:c>
      <x:c r="N18" s="8" t="n">
        <x:f>M18/10</x:f>
        <x:v>0.5</x:v>
      </x:c>
      <x:c r="O18" s="3" t="n">
        <x:f>COUNTIFS(C18:L18,"확인불가")</x:f>
        <x:v>2</x:v>
      </x:c>
      <x:c r="P18" s="3" t="s">
        <x:v>124</x:v>
      </x:c>
      <x:c r="Q18" s="3" t="s">
        <x:v>125</x:v>
      </x:c>
      <x:c r="R18" s="3" t="s">
        <x:v>100</x:v>
      </x:c>
    </x:row>
    <x:row r="19" ht="66" customHeight="1">
      <x:c r="A19" s="3" t="s">
        <x:v>39</x:v>
      </x:c>
      <x:c r="B19" s="3" t="s">
        <x:v>126</x:v>
      </x:c>
      <x:c r="C19" s="3" t="s">
        <x:v>102</x:v>
      </x:c>
      <x:c r="D19" s="3" t="s">
        <x:v>97</x:v>
      </x:c>
      <x:c r="E19" s="3" t="s">
        <x:v>97</x:v>
      </x:c>
      <x:c r="F19" s="3" t="s">
        <x:v>102</x:v>
      </x:c>
      <x:c r="G19" s="3" t="s">
        <x:v>97</x:v>
      </x:c>
      <x:c r="H19" s="3" t="s">
        <x:v>102</x:v>
      </x:c>
      <x:c r="I19" s="3" t="s">
        <x:v>102</x:v>
      </x:c>
      <x:c r="J19" s="3" t="s">
        <x:v>102</x:v>
      </x:c>
      <x:c r="K19" s="3" t="s">
        <x:v>102</x:v>
      </x:c>
      <x:c r="L19" s="3" t="s">
        <x:v>102</x:v>
      </x:c>
      <x:c r="M19" s="3" t="n">
        <x:f>COUNTIFS(C19:L19,"충족")</x:f>
        <x:v>3</x:v>
      </x:c>
      <x:c r="N19" s="8" t="n">
        <x:f>M19/10</x:f>
        <x:v>0.3</x:v>
      </x:c>
      <x:c r="O19" s="3" t="n">
        <x:f>COUNTIFS(C19:L19,"확인불가")</x:f>
        <x:v>0</x:v>
      </x:c>
      <x:c r="P19" s="3" t="s">
        <x:v>127</x:v>
      </x:c>
      <x:c r="Q19" s="3" t="s">
        <x:v>99</x:v>
      </x:c>
      <x:c r="R19" s="3" t="s">
        <x:v>100</x:v>
      </x:c>
    </x:row>
    <x:row r="20" ht="66" customHeight="1">
      <x:c r="A20" s="3" t="s">
        <x:v>40</x:v>
      </x:c>
      <x:c r="B20" s="3" t="s">
        <x:v>126</x:v>
      </x:c>
      <x:c r="C20" s="3" t="s">
        <x:v>97</x:v>
      </x:c>
      <x:c r="D20" s="3" t="s">
        <x:v>97</x:v>
      </x:c>
      <x:c r="E20" s="3" t="s">
        <x:v>102</x:v>
      </x:c>
      <x:c r="F20" s="3" t="s">
        <x:v>102</x:v>
      </x:c>
      <x:c r="G20" s="3" t="s">
        <x:v>102</x:v>
      </x:c>
      <x:c r="H20" s="3" t="s">
        <x:v>102</x:v>
      </x:c>
      <x:c r="I20" s="3" t="s">
        <x:v>102</x:v>
      </x:c>
      <x:c r="J20" s="3" t="s">
        <x:v>102</x:v>
      </x:c>
      <x:c r="K20" s="3" t="s">
        <x:v>102</x:v>
      </x:c>
      <x:c r="L20" s="3" t="s">
        <x:v>97</x:v>
      </x:c>
      <x:c r="M20" s="3" t="n">
        <x:f>COUNTIFS(C20:L20,"충족")</x:f>
        <x:v>3</x:v>
      </x:c>
      <x:c r="N20" s="8" t="n">
        <x:f>M20/10</x:f>
        <x:v>0.3</x:v>
      </x:c>
      <x:c r="O20" s="3" t="n">
        <x:f>COUNTIFS(C20:L20,"확인불가")</x:f>
        <x:v>0</x:v>
      </x:c>
      <x:c r="P20" s="3" t="s">
        <x:v>128</x:v>
      </x:c>
      <x:c r="Q20" s="3" t="s">
        <x:v>99</x:v>
      </x:c>
      <x:c r="R20" s="3" t="s">
        <x:v>100</x:v>
      </x:c>
    </x:row>
    <x:row r="21" ht="66" customHeight="1">
      <x:c r="A21" s="3" t="s">
        <x:v>41</x:v>
      </x:c>
      <x:c r="B21" s="3" t="s">
        <x:v>126</x:v>
      </x:c>
      <x:c r="C21" s="3" t="s">
        <x:v>102</x:v>
      </x:c>
      <x:c r="D21" s="3" t="s">
        <x:v>102</x:v>
      </x:c>
      <x:c r="E21" s="3" t="s">
        <x:v>97</x:v>
      </x:c>
      <x:c r="F21" s="3" t="s">
        <x:v>97</x:v>
      </x:c>
      <x:c r="G21" s="3" t="s">
        <x:v>102</x:v>
      </x:c>
      <x:c r="H21" s="3" t="s">
        <x:v>97</x:v>
      </x:c>
      <x:c r="I21" s="3" t="s">
        <x:v>102</x:v>
      </x:c>
      <x:c r="J21" s="3" t="s">
        <x:v>102</x:v>
      </x:c>
      <x:c r="K21" s="3" t="s">
        <x:v>102</x:v>
      </x:c>
      <x:c r="L21" s="3" t="s">
        <x:v>102</x:v>
      </x:c>
      <x:c r="M21" s="3" t="n">
        <x:f>COUNTIFS(C21:L21,"충족")</x:f>
        <x:v>3</x:v>
      </x:c>
      <x:c r="N21" s="8" t="n">
        <x:f>M21/10</x:f>
        <x:v>0.3</x:v>
      </x:c>
      <x:c r="O21" s="3" t="n">
        <x:f>COUNTIFS(C21:L21,"확인불가")</x:f>
        <x:v>0</x:v>
      </x:c>
      <x:c r="P21" s="3" t="s">
        <x:v>129</x:v>
      </x:c>
      <x:c r="Q21" s="3" t="s">
        <x:v>99</x:v>
      </x:c>
      <x:c r="R21" s="3" t="s">
        <x:v>100</x:v>
      </x:c>
    </x:row>
    <x:row r="22" ht="66" customHeight="1">
      <x:c r="A22" s="3" t="s">
        <x:v>42</x:v>
      </x:c>
      <x:c r="B22" s="3" t="s">
        <x:v>126</x:v>
      </x:c>
      <x:c r="C22" s="3" t="s">
        <x:v>102</x:v>
      </x:c>
      <x:c r="D22" s="3" t="s">
        <x:v>102</x:v>
      </x:c>
      <x:c r="E22" s="3" t="s">
        <x:v>102</x:v>
      </x:c>
      <x:c r="F22" s="3" t="s">
        <x:v>102</x:v>
      </x:c>
      <x:c r="G22" s="3" t="s">
        <x:v>97</x:v>
      </x:c>
      <x:c r="H22" s="3" t="s">
        <x:v>102</x:v>
      </x:c>
      <x:c r="I22" s="3" t="s">
        <x:v>97</x:v>
      </x:c>
      <x:c r="J22" s="3" t="s">
        <x:v>102</x:v>
      </x:c>
      <x:c r="K22" s="3" t="s">
        <x:v>97</x:v>
      </x:c>
      <x:c r="L22" s="3" t="s">
        <x:v>102</x:v>
      </x:c>
      <x:c r="M22" s="3" t="n">
        <x:f>COUNTIFS(C22:L22,"충족")</x:f>
        <x:v>3</x:v>
      </x:c>
      <x:c r="N22" s="8" t="n">
        <x:f>M22/10</x:f>
        <x:v>0.3</x:v>
      </x:c>
      <x:c r="O22" s="3" t="n">
        <x:f>COUNTIFS(C22:L22,"확인불가")</x:f>
        <x:v>0</x:v>
      </x:c>
      <x:c r="P22" s="3" t="s">
        <x:v>130</x:v>
      </x:c>
      <x:c r="Q22" s="3" t="s">
        <x:v>99</x:v>
      </x:c>
      <x:c r="R22" s="3" t="s">
        <x:v>100</x:v>
      </x:c>
    </x:row>
    <x:row r="23" ht="66" customHeight="1">
      <x:c r="A23" s="3" t="s">
        <x:v>43</x:v>
      </x:c>
      <x:c r="B23" s="3" t="s">
        <x:v>126</x:v>
      </x:c>
      <x:c r="C23" s="3" t="s">
        <x:v>102</x:v>
      </x:c>
      <x:c r="D23" s="3" t="s">
        <x:v>97</x:v>
      </x:c>
      <x:c r="E23" s="3" t="s">
        <x:v>102</x:v>
      </x:c>
      <x:c r="F23" s="3" t="s">
        <x:v>102</x:v>
      </x:c>
      <x:c r="G23" s="3" t="s">
        <x:v>102</x:v>
      </x:c>
      <x:c r="H23" s="3" t="s">
        <x:v>102</x:v>
      </x:c>
      <x:c r="I23" s="3" t="s">
        <x:v>102</x:v>
      </x:c>
      <x:c r="J23" s="3" t="s">
        <x:v>97</x:v>
      </x:c>
      <x:c r="K23" s="3" t="s">
        <x:v>102</x:v>
      </x:c>
      <x:c r="L23" s="3" t="s">
        <x:v>97</x:v>
      </x:c>
      <x:c r="M23" s="3" t="n">
        <x:f>COUNTIFS(C23:L23,"충족")</x:f>
        <x:v>3</x:v>
      </x:c>
      <x:c r="N23" s="8" t="n">
        <x:f>M23/10</x:f>
        <x:v>0.3</x:v>
      </x:c>
      <x:c r="O23" s="3" t="n">
        <x:f>COUNTIFS(C23:L23,"확인불가")</x:f>
        <x:v>0</x:v>
      </x:c>
      <x:c r="P23" s="3" t="s">
        <x:v>131</x:v>
      </x:c>
      <x:c r="Q23" s="3" t="s">
        <x:v>99</x:v>
      </x:c>
      <x:c r="R23" s="3" t="s">
        <x:v>100</x:v>
      </x:c>
    </x:row>
    <x:row r="24" ht="66" customHeight="1">
      <x:c r="A24" s="3" t="s">
        <x:v>44</x:v>
      </x:c>
      <x:c r="B24" s="3" t="s">
        <x:v>126</x:v>
      </x:c>
      <x:c r="C24" s="3" t="s">
        <x:v>97</x:v>
      </x:c>
      <x:c r="D24" s="3" t="s">
        <x:v>102</x:v>
      </x:c>
      <x:c r="E24" s="3" t="s">
        <x:v>102</x:v>
      </x:c>
      <x:c r="F24" s="3" t="s">
        <x:v>102</x:v>
      </x:c>
      <x:c r="G24" s="3" t="s">
        <x:v>102</x:v>
      </x:c>
      <x:c r="H24" s="3" t="s">
        <x:v>97</x:v>
      </x:c>
      <x:c r="I24" s="3" t="s">
        <x:v>102</x:v>
      </x:c>
      <x:c r="J24" s="3" t="s">
        <x:v>102</x:v>
      </x:c>
      <x:c r="K24" s="3" t="s">
        <x:v>97</x:v>
      </x:c>
      <x:c r="L24" s="3" t="s">
        <x:v>102</x:v>
      </x:c>
      <x:c r="M24" s="3" t="n">
        <x:f>COUNTIFS(C24:L24,"충족")</x:f>
        <x:v>3</x:v>
      </x:c>
      <x:c r="N24" s="8" t="n">
        <x:f>M24/10</x:f>
        <x:v>0.3</x:v>
      </x:c>
      <x:c r="O24" s="3" t="n">
        <x:f>COUNTIFS(C24:L24,"확인불가")</x:f>
        <x:v>0</x:v>
      </x:c>
      <x:c r="P24" s="3" t="s">
        <x:v>132</x:v>
      </x:c>
      <x:c r="Q24" s="3" t="s">
        <x:v>99</x:v>
      </x:c>
      <x:c r="R24" s="3" t="s">
        <x:v>100</x:v>
      </x:c>
    </x:row>
    <x:row r="25" ht="66" customHeight="1">
      <x:c r="A25" s="3" t="s">
        <x:v>47</x:v>
      </x:c>
      <x:c r="B25" s="3" t="s">
        <x:v>126</x:v>
      </x:c>
      <x:c r="C25" s="3" t="s">
        <x:v>102</x:v>
      </x:c>
      <x:c r="D25" s="3" t="s">
        <x:v>102</x:v>
      </x:c>
      <x:c r="E25" s="3" t="s">
        <x:v>97</x:v>
      </x:c>
      <x:c r="F25" s="3" t="s">
        <x:v>102</x:v>
      </x:c>
      <x:c r="G25" s="3" t="s">
        <x:v>102</x:v>
      </x:c>
      <x:c r="H25" s="3" t="s">
        <x:v>102</x:v>
      </x:c>
      <x:c r="I25" s="3" t="s">
        <x:v>97</x:v>
      </x:c>
      <x:c r="J25" s="3" t="s">
        <x:v>97</x:v>
      </x:c>
      <x:c r="K25" s="3" t="s">
        <x:v>102</x:v>
      </x:c>
      <x:c r="L25" s="3" t="s">
        <x:v>102</x:v>
      </x:c>
      <x:c r="M25" s="3" t="n">
        <x:f>COUNTIFS(C25:L25,"충족")</x:f>
        <x:v>3</x:v>
      </x:c>
      <x:c r="N25" s="8" t="n">
        <x:f>M25/10</x:f>
        <x:v>0.3</x:v>
      </x:c>
      <x:c r="O25" s="3" t="n">
        <x:f>COUNTIFS(C25:L25,"확인불가")</x:f>
        <x:v>0</x:v>
      </x:c>
      <x:c r="P25" s="3" t="s">
        <x:v>133</x:v>
      </x:c>
      <x:c r="Q25" s="3" t="s">
        <x:v>99</x:v>
      </x:c>
      <x:c r="R25" s="3" t="s">
        <x:v>100</x:v>
      </x:c>
    </x:row>
    <x:row r="26" ht="66" customHeight="1">
      <x:c r="A26" s="3" t="s">
        <x:v>48</x:v>
      </x:c>
      <x:c r="B26" s="3" t="s">
        <x:v>126</x:v>
      </x:c>
      <x:c r="C26" s="3" t="s">
        <x:v>102</x:v>
      </x:c>
      <x:c r="D26" s="3" t="s">
        <x:v>102</x:v>
      </x:c>
      <x:c r="E26" s="3" t="s">
        <x:v>102</x:v>
      </x:c>
      <x:c r="F26" s="3" t="s">
        <x:v>97</x:v>
      </x:c>
      <x:c r="G26" s="3" t="s">
        <x:v>97</x:v>
      </x:c>
      <x:c r="H26" s="3" t="s">
        <x:v>102</x:v>
      </x:c>
      <x:c r="I26" s="3" t="s">
        <x:v>102</x:v>
      </x:c>
      <x:c r="J26" s="3" t="s">
        <x:v>102</x:v>
      </x:c>
      <x:c r="K26" s="3" t="s">
        <x:v>102</x:v>
      </x:c>
      <x:c r="L26" s="3" t="s">
        <x:v>97</x:v>
      </x:c>
      <x:c r="M26" s="3" t="n">
        <x:f>COUNTIFS(C26:L26,"충족")</x:f>
        <x:v>3</x:v>
      </x:c>
      <x:c r="N26" s="8" t="n">
        <x:f>M26/10</x:f>
        <x:v>0.3</x:v>
      </x:c>
      <x:c r="O26" s="3" t="n">
        <x:f>COUNTIFS(C26:L26,"확인불가")</x:f>
        <x:v>0</x:v>
      </x:c>
      <x:c r="P26" s="3" t="s">
        <x:v>134</x:v>
      </x:c>
      <x:c r="Q26" s="3" t="s">
        <x:v>99</x:v>
      </x:c>
      <x:c r="R26" s="3" t="s">
        <x:v>100</x:v>
      </x:c>
    </x:row>
    <x:row r="27" ht="66" customHeight="1">
      <x:c r="A27" s="3" t="s">
        <x:v>49</x:v>
      </x:c>
      <x:c r="B27" s="3" t="s">
        <x:v>126</x:v>
      </x:c>
      <x:c r="C27" s="3" t="s">
        <x:v>97</x:v>
      </x:c>
      <x:c r="D27" s="3" t="s">
        <x:v>102</x:v>
      </x:c>
      <x:c r="E27" s="3" t="s">
        <x:v>102</x:v>
      </x:c>
      <x:c r="F27" s="3" t="s">
        <x:v>97</x:v>
      </x:c>
      <x:c r="G27" s="3" t="s">
        <x:v>97</x:v>
      </x:c>
      <x:c r="H27" s="3" t="s">
        <x:v>97</x:v>
      </x:c>
      <x:c r="I27" s="3" t="s">
        <x:v>97</x:v>
      </x:c>
      <x:c r="J27" s="3" t="s">
        <x:v>102</x:v>
      </x:c>
      <x:c r="K27" s="3" t="s">
        <x:v>102</x:v>
      </x:c>
      <x:c r="L27" s="3" t="s">
        <x:v>97</x:v>
      </x:c>
      <x:c r="M27" s="3" t="n">
        <x:f>COUNTIFS(C27:L27,"충족")</x:f>
        <x:v>6</x:v>
      </x:c>
      <x:c r="N27" s="8" t="n">
        <x:f>M27/10</x:f>
        <x:v>0.6</x:v>
      </x:c>
      <x:c r="O27" s="3" t="n">
        <x:f>COUNTIFS(C27:L27,"확인불가")</x:f>
        <x:v>0</x:v>
      </x:c>
      <x:c r="P27" s="3" t="s">
        <x:v>135</x:v>
      </x:c>
      <x:c r="Q27" s="3" t="s">
        <x:v>99</x:v>
      </x:c>
      <x:c r="R27" s="3" t="s">
        <x:v>136</x:v>
      </x:c>
    </x:row>
    <x:row r="28" ht="66" customHeight="1">
      <x:c r="A28" s="3" t="s">
        <x:v>52</x:v>
      </x:c>
      <x:c r="B28" s="3" t="s">
        <x:v>126</x:v>
      </x:c>
      <x:c r="C28" s="3" t="s">
        <x:v>97</x:v>
      </x:c>
      <x:c r="D28" s="3" t="s">
        <x:v>102</x:v>
      </x:c>
      <x:c r="E28" s="3" t="s">
        <x:v>102</x:v>
      </x:c>
      <x:c r="F28" s="3" t="s">
        <x:v>97</x:v>
      </x:c>
      <x:c r="G28" s="3" t="s">
        <x:v>102</x:v>
      </x:c>
      <x:c r="H28" s="3" t="s">
        <x:v>97</x:v>
      </x:c>
      <x:c r="I28" s="3" t="s">
        <x:v>97</x:v>
      </x:c>
      <x:c r="J28" s="3" t="s">
        <x:v>97</x:v>
      </x:c>
      <x:c r="K28" s="3" t="s">
        <x:v>97</x:v>
      </x:c>
      <x:c r="L28" s="3" t="s">
        <x:v>97</x:v>
      </x:c>
      <x:c r="M28" s="3" t="n">
        <x:f>COUNTIFS(C28:L28,"충족")</x:f>
        <x:v>7</x:v>
      </x:c>
      <x:c r="N28" s="8" t="n">
        <x:f>M28/10</x:f>
        <x:v>0.7</x:v>
      </x:c>
      <x:c r="O28" s="3" t="n">
        <x:f>COUNTIFS(C28:L28,"확인불가")</x:f>
        <x:v>0</x:v>
      </x:c>
      <x:c r="P28" s="3" t="s">
        <x:v>137</x:v>
      </x:c>
      <x:c r="Q28" s="3" t="s">
        <x:v>99</x:v>
      </x:c>
      <x:c r="R28" s="3" t="s">
        <x:v>136</x:v>
      </x:c>
    </x:row>
    <x:row r="29" ht="66" customHeight="1">
      <x:c r="A29" s="3" t="s">
        <x:v>55</x:v>
      </x:c>
      <x:c r="B29" s="3" t="s">
        <x:v>126</x:v>
      </x:c>
      <x:c r="C29" s="3" t="s">
        <x:v>97</x:v>
      </x:c>
      <x:c r="D29" s="3" t="s">
        <x:v>102</x:v>
      </x:c>
      <x:c r="E29" s="3" t="s">
        <x:v>102</x:v>
      </x:c>
      <x:c r="F29" s="3" t="s">
        <x:v>102</x:v>
      </x:c>
      <x:c r="G29" s="3" t="s">
        <x:v>102</x:v>
      </x:c>
      <x:c r="H29" s="3" t="s">
        <x:v>97</x:v>
      </x:c>
      <x:c r="I29" s="3" t="s">
        <x:v>97</x:v>
      </x:c>
      <x:c r="J29" s="3" t="s">
        <x:v>102</x:v>
      </x:c>
      <x:c r="K29" s="3" t="s">
        <x:v>102</x:v>
      </x:c>
      <x:c r="L29" s="3" t="s">
        <x:v>97</x:v>
      </x:c>
      <x:c r="M29" s="3" t="n">
        <x:f>COUNTIFS(C29:L29,"충족")</x:f>
        <x:v>4</x:v>
      </x:c>
      <x:c r="N29" s="8" t="n">
        <x:f>M29/10</x:f>
        <x:v>0.4</x:v>
      </x:c>
      <x:c r="O29" s="3" t="n">
        <x:f>COUNTIFS(C29:L29,"확인불가")</x:f>
        <x:v>0</x:v>
      </x:c>
      <x:c r="P29" s="3" t="s">
        <x:v>138</x:v>
      </x:c>
      <x:c r="Q29" s="3" t="s">
        <x:v>99</x:v>
      </x:c>
      <x:c r="R29" s="3" t="s">
        <x:v>136</x:v>
      </x:c>
    </x:row>
    <x:row r="30" ht="66" customHeight="1">
      <x:c r="A30" s="3" t="s">
        <x:v>58</x:v>
      </x:c>
      <x:c r="B30" s="3" t="s">
        <x:v>126</x:v>
      </x:c>
      <x:c r="C30" s="3" t="s">
        <x:v>102</x:v>
      </x:c>
      <x:c r="D30" s="3" t="s">
        <x:v>102</x:v>
      </x:c>
      <x:c r="E30" s="3" t="s">
        <x:v>102</x:v>
      </x:c>
      <x:c r="F30" s="3" t="s">
        <x:v>102</x:v>
      </x:c>
      <x:c r="G30" s="3" t="s">
        <x:v>97</x:v>
      </x:c>
      <x:c r="H30" s="3" t="s">
        <x:v>102</x:v>
      </x:c>
      <x:c r="I30" s="3" t="s">
        <x:v>102</x:v>
      </x:c>
      <x:c r="J30" s="3" t="s">
        <x:v>102</x:v>
      </x:c>
      <x:c r="K30" s="3" t="s">
        <x:v>97</x:v>
      </x:c>
      <x:c r="L30" s="3" t="s">
        <x:v>102</x:v>
      </x:c>
      <x:c r="M30" s="3" t="n">
        <x:f>COUNTIFS(C30:L30,"충족")</x:f>
        <x:v>2</x:v>
      </x:c>
      <x:c r="N30" s="8" t="n">
        <x:f>M30/10</x:f>
        <x:v>0.2</x:v>
      </x:c>
      <x:c r="O30" s="3" t="n">
        <x:f>COUNTIFS(C30:L30,"확인불가")</x:f>
        <x:v>0</x:v>
      </x:c>
      <x:c r="P30" s="3" t="s">
        <x:v>139</x:v>
      </x:c>
      <x:c r="Q30" s="3" t="s">
        <x:v>99</x:v>
      </x:c>
      <x:c r="R30" s="3" t="s">
        <x:v>136</x:v>
      </x:c>
    </x:row>
    <x:row r="31" ht="66" customHeight="1">
      <x:c r="A31" s="3" t="s">
        <x:v>61</x:v>
      </x:c>
      <x:c r="B31" s="3" t="s">
        <x:v>126</x:v>
      </x:c>
      <x:c r="C31" s="3" t="s">
        <x:v>97</x:v>
      </x:c>
      <x:c r="D31" s="3" t="s">
        <x:v>102</x:v>
      </x:c>
      <x:c r="E31" s="3" t="s">
        <x:v>102</x:v>
      </x:c>
      <x:c r="F31" s="3" t="s">
        <x:v>97</x:v>
      </x:c>
      <x:c r="G31" s="3" t="s">
        <x:v>102</x:v>
      </x:c>
      <x:c r="H31" s="3" t="s">
        <x:v>97</x:v>
      </x:c>
      <x:c r="I31" s="3" t="s">
        <x:v>102</x:v>
      </x:c>
      <x:c r="J31" s="3" t="s">
        <x:v>97</x:v>
      </x:c>
      <x:c r="K31" s="3" t="s">
        <x:v>102</x:v>
      </x:c>
      <x:c r="L31" s="3" t="s">
        <x:v>97</x:v>
      </x:c>
      <x:c r="M31" s="3" t="n">
        <x:f>COUNTIFS(C31:L31,"충족")</x:f>
        <x:v>5</x:v>
      </x:c>
      <x:c r="N31" s="8" t="n">
        <x:f>M31/10</x:f>
        <x:v>0.5</x:v>
      </x:c>
      <x:c r="O31" s="3" t="n">
        <x:f>COUNTIFS(C31:L31,"확인불가")</x:f>
        <x:v>0</x:v>
      </x:c>
      <x:c r="P31" s="3" t="s">
        <x:v>140</x:v>
      </x:c>
      <x:c r="Q31" s="3" t="s">
        <x:v>99</x:v>
      </x:c>
      <x:c r="R31" s="3" t="s">
        <x:v>136</x:v>
      </x:c>
    </x:row>
    <x:row r="32" ht="66" customHeight="1">
      <x:c r="A32" s="3" t="s">
        <x:v>64</x:v>
      </x:c>
      <x:c r="B32" s="3" t="s">
        <x:v>126</x:v>
      </x:c>
      <x:c r="C32" s="3" t="s">
        <x:v>97</x:v>
      </x:c>
      <x:c r="D32" s="3" t="s">
        <x:v>97</x:v>
      </x:c>
      <x:c r="E32" s="3" t="s">
        <x:v>102</x:v>
      </x:c>
      <x:c r="F32" s="3" t="s">
        <x:v>102</x:v>
      </x:c>
      <x:c r="G32" s="3" t="s">
        <x:v>97</x:v>
      </x:c>
      <x:c r="H32" s="3" t="s">
        <x:v>97</x:v>
      </x:c>
      <x:c r="I32" s="3" t="s">
        <x:v>97</x:v>
      </x:c>
      <x:c r="J32" s="3" t="s">
        <x:v>102</x:v>
      </x:c>
      <x:c r="K32" s="3" t="s">
        <x:v>97</x:v>
      </x:c>
      <x:c r="L32" s="3" t="s">
        <x:v>97</x:v>
      </x:c>
      <x:c r="M32" s="3" t="n">
        <x:f>COUNTIFS(C32:L32,"충족")</x:f>
        <x:v>7</x:v>
      </x:c>
      <x:c r="N32" s="8" t="n">
        <x:f>M32/10</x:f>
        <x:v>0.7</x:v>
      </x:c>
      <x:c r="O32" s="3" t="n">
        <x:f>COUNTIFS(C32:L32,"확인불가")</x:f>
        <x:v>0</x:v>
      </x:c>
      <x:c r="P32" s="3" t="s">
        <x:v>141</x:v>
      </x:c>
      <x:c r="Q32" s="3" t="s">
        <x:v>99</x:v>
      </x:c>
      <x:c r="R32" s="3" t="s">
        <x:v>142</x:v>
      </x:c>
    </x:row>
    <x:row r="33" ht="66" customHeight="1">
      <x:c r="A33" s="3" t="s">
        <x:v>67</x:v>
      </x:c>
      <x:c r="B33" s="3" t="s">
        <x:v>126</x:v>
      </x:c>
      <x:c r="C33" s="3" t="s">
        <x:v>97</x:v>
      </x:c>
      <x:c r="D33" s="3" t="s">
        <x:v>97</x:v>
      </x:c>
      <x:c r="E33" s="3" t="s">
        <x:v>102</x:v>
      </x:c>
      <x:c r="F33" s="3" t="s">
        <x:v>102</x:v>
      </x:c>
      <x:c r="G33" s="3" t="s">
        <x:v>97</x:v>
      </x:c>
      <x:c r="H33" s="3" t="s">
        <x:v>102</x:v>
      </x:c>
      <x:c r="I33" s="3" t="s">
        <x:v>102</x:v>
      </x:c>
      <x:c r="J33" s="3" t="s">
        <x:v>97</x:v>
      </x:c>
      <x:c r="K33" s="3" t="s">
        <x:v>102</x:v>
      </x:c>
      <x:c r="L33" s="3" t="s">
        <x:v>97</x:v>
      </x:c>
      <x:c r="M33" s="3" t="n">
        <x:f>COUNTIFS(C33:L33,"충족")</x:f>
        <x:v>5</x:v>
      </x:c>
      <x:c r="N33" s="8" t="n">
        <x:f>M33/10</x:f>
        <x:v>0.5</x:v>
      </x:c>
      <x:c r="O33" s="3" t="n">
        <x:f>COUNTIFS(C33:L33,"확인불가")</x:f>
        <x:v>0</x:v>
      </x:c>
      <x:c r="P33" s="3" t="s">
        <x:v>143</x:v>
      </x:c>
      <x:c r="Q33" s="3" t="s">
        <x:v>99</x:v>
      </x:c>
      <x:c r="R33" s="3" t="s">
        <x:v>142</x:v>
      </x:c>
    </x:row>
    <x:row r="34" ht="66" customHeight="1">
      <x:c r="A34" s="3" t="s">
        <x:v>70</x:v>
      </x:c>
      <x:c r="B34" s="3" t="s">
        <x:v>126</x:v>
      </x:c>
      <x:c r="C34" s="3" t="s">
        <x:v>97</x:v>
      </x:c>
      <x:c r="D34" s="3" t="s">
        <x:v>97</x:v>
      </x:c>
      <x:c r="E34" s="3" t="s">
        <x:v>102</x:v>
      </x:c>
      <x:c r="F34" s="3" t="s">
        <x:v>102</x:v>
      </x:c>
      <x:c r="G34" s="3" t="s">
        <x:v>102</x:v>
      </x:c>
      <x:c r="H34" s="3" t="s">
        <x:v>102</x:v>
      </x:c>
      <x:c r="I34" s="3" t="s">
        <x:v>97</x:v>
      </x:c>
      <x:c r="J34" s="3" t="s">
        <x:v>97</x:v>
      </x:c>
      <x:c r="K34" s="3" t="s">
        <x:v>102</x:v>
      </x:c>
      <x:c r="L34" s="3" t="s">
        <x:v>97</x:v>
      </x:c>
      <x:c r="M34" s="3" t="n">
        <x:f>COUNTIFS(C34:L34,"충족")</x:f>
        <x:v>5</x:v>
      </x:c>
      <x:c r="N34" s="8" t="n">
        <x:f>M34/10</x:f>
        <x:v>0.5</x:v>
      </x:c>
      <x:c r="O34" s="3" t="n">
        <x:f>COUNTIFS(C34:L34,"확인불가")</x:f>
        <x:v>0</x:v>
      </x:c>
      <x:c r="P34" s="3" t="s">
        <x:v>144</x:v>
      </x:c>
      <x:c r="Q34" s="3" t="s">
        <x:v>99</x:v>
      </x:c>
      <x:c r="R34" s="3" t="s">
        <x:v>142</x:v>
      </x:c>
    </x:row>
    <x:row r="35" ht="66" customHeight="1">
      <x:c r="A35" s="3" t="s">
        <x:v>73</x:v>
      </x:c>
      <x:c r="B35" s="3" t="s">
        <x:v>126</x:v>
      </x:c>
      <x:c r="C35" s="3" t="s">
        <x:v>102</x:v>
      </x:c>
      <x:c r="D35" s="3" t="s">
        <x:v>97</x:v>
      </x:c>
      <x:c r="E35" s="3" t="s">
        <x:v>97</x:v>
      </x:c>
      <x:c r="F35" s="3" t="s">
        <x:v>102</x:v>
      </x:c>
      <x:c r="G35" s="3" t="s">
        <x:v>97</x:v>
      </x:c>
      <x:c r="H35" s="3" t="s">
        <x:v>97</x:v>
      </x:c>
      <x:c r="I35" s="3" t="s">
        <x:v>102</x:v>
      </x:c>
      <x:c r="J35" s="3" t="s">
        <x:v>102</x:v>
      </x:c>
      <x:c r="K35" s="3" t="s">
        <x:v>97</x:v>
      </x:c>
      <x:c r="L35" s="3" t="s">
        <x:v>102</x:v>
      </x:c>
      <x:c r="M35" s="3" t="n">
        <x:f>COUNTIFS(C35:L35,"충족")</x:f>
        <x:v>5</x:v>
      </x:c>
      <x:c r="N35" s="8" t="n">
        <x:f>M35/10</x:f>
        <x:v>0.5</x:v>
      </x:c>
      <x:c r="O35" s="3" t="n">
        <x:f>COUNTIFS(C35:L35,"확인불가")</x:f>
        <x:v>0</x:v>
      </x:c>
      <x:c r="P35" s="3" t="s">
        <x:v>145</x:v>
      </x:c>
      <x:c r="Q35" s="3" t="s">
        <x:v>99</x:v>
      </x:c>
      <x:c r="R35" s="3" t="s">
        <x:v>142</x:v>
      </x:c>
    </x:row>
    <x:row r="36" ht="66" customHeight="1">
      <x:c r="A36" s="3" t="s">
        <x:v>76</x:v>
      </x:c>
      <x:c r="B36" s="3" t="s">
        <x:v>126</x:v>
      </x:c>
      <x:c r="C36" s="3" t="s">
        <x:v>97</x:v>
      </x:c>
      <x:c r="D36" s="3" t="s">
        <x:v>97</x:v>
      </x:c>
      <x:c r="E36" s="3" t="s">
        <x:v>102</x:v>
      </x:c>
      <x:c r="F36" s="3" t="s">
        <x:v>102</x:v>
      </x:c>
      <x:c r="G36" s="3" t="s">
        <x:v>97</x:v>
      </x:c>
      <x:c r="H36" s="3" t="s">
        <x:v>97</x:v>
      </x:c>
      <x:c r="I36" s="3" t="s">
        <x:v>102</x:v>
      </x:c>
      <x:c r="J36" s="3" t="s">
        <x:v>97</x:v>
      </x:c>
      <x:c r="K36" s="3" t="s">
        <x:v>97</x:v>
      </x:c>
      <x:c r="L36" s="3" t="s">
        <x:v>97</x:v>
      </x:c>
      <x:c r="M36" s="3" t="n">
        <x:f>COUNTIFS(C36:L36,"충족")</x:f>
        <x:v>7</x:v>
      </x:c>
      <x:c r="N36" s="8" t="n">
        <x:f>M36/10</x:f>
        <x:v>0.7</x:v>
      </x:c>
      <x:c r="O36" s="3" t="n">
        <x:f>COUNTIFS(C36:L36,"확인불가")</x:f>
        <x:v>0</x:v>
      </x:c>
      <x:c r="P36" s="3" t="s">
        <x:v>146</x:v>
      </x:c>
      <x:c r="Q36" s="3" t="s">
        <x:v>99</x:v>
      </x:c>
      <x:c r="R36" s="3" t="s">
        <x:v>142</x:v>
      </x:c>
    </x:row>
  </x:sheetData>
  <x:pageMargins left="0.7" right="0.7" top="0.75" bottom="0.75" header="0.3" footer="0.3"/>
  <x:tableParts count="1">
    <x:tablePart xmlns:r="http://schemas.openxmlformats.org/officeDocument/2006/relationships" r:id="R4fdd7e6d570c40f1"/>
  </x:tableParts>
  <x:conditionalFormatting sqref="C2:L36">
    <x:cfRule type="containsText" dxfId="12" priority="1" operator="containsText"/>
  </x:conditionalFormatting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ColWidth="8.796875" defaultRowHeight="16.399999618530273"/>
  <x:cols>
    <x:col min="1" max="1" width="16.110000610351562" style="2" hidden="0" customWidth="1"/>
    <x:col min="2" max="2" width="32.220001220703125" style="2" hidden="0" customWidth="1"/>
    <x:col min="3" max="3" width="86.66999816894531" style="2" hidden="0" customWidth="1"/>
    <x:col min="4" max="4" width="12.779999732971191" style="2" hidden="0" customWidth="1"/>
    <x:col min="5" max="5" width="23.329999923706055" style="2" hidden="0" customWidth="1"/>
    <x:col min="6" max="6" width="36" style="2" customWidth="1"/>
    <x:col min="7" max="7" width="30" style="2" customWidth="1"/>
    <x:col min="8" max="8" width="42" style="2" customWidth="1"/>
    <x:col min="9" max="9" width="35" style="2" customWidth="1"/>
    <x:col min="10" max="10" width="100" style="2" customWidth="1"/>
    <x:col min="11" max="11" width="35" style="2" customWidth="1"/>
    <x:col min="12" max="12" width="16" style="2" customWidth="1"/>
  </x:cols>
  <x:sheetData>
    <x:row r="1" ht="25.5" customHeight="1">
      <x:c r="A1" s="13" t="str">
        <x:v>카테고리</x:v>
      </x:c>
      <x:c r="B1" s="13" t="str">
        <x:v>상품명</x:v>
      </x:c>
      <x:c r="C1" s="13" t="str">
        <x:v>설명</x:v>
      </x:c>
      <x:c r="D1" s="13" t="str">
        <x:v>가격</x:v>
      </x:c>
      <x:c r="E1" s="13" t="str">
        <x:v>거래위치</x:v>
      </x:c>
      <x:c r="F1"/>
      <x:c r="G1"/>
      <x:c r="H1"/>
      <x:c r="I1"/>
      <x:c r="J1"/>
      <x:c r="K1"/>
      <x:c r="L1"/>
    </x:row>
    <x:row r="2" ht="118.5" customHeight="1">
      <x:c r="A2" s="14" t="str">
        <x:v>빔프로젝터</x:v>
      </x:c>
      <x:c r="B2" s="14" t="str">
        <x:v>미니 빔프로젝터 판매</x:v>
      </x:c>
      <x:c r="C2" s="14" t="str">
        <x:v>방에서 영화 볼 때 썼어요. 벽에 투사해서 사용했고 HDMI 연결 가능합니다. 밝은 낮에는 화면이 흐려서 밤에 주로 봤습니다.
모델명(가상): 가상모델 DEMO_PROJECTOR_01
제품정보: 720p / HDMI 입력
외관·기능: 렌즈 흠집 없음, 초점 조절 정상
구성품: 본체·전원 어댑터·리모컨</x:v>
      </x:c>
      <x:c r="D2" s="15" t="n">
        <x:v>65000</x:v>
      </x:c>
      <x:c r="E2" s="14" t="str">
        <x:v>거리 1.2km</x:v>
      </x:c>
      <x:c r="F2"/>
      <x:c r="G2"/>
      <x:c r="H2"/>
      <x:c r="I2"/>
      <x:c r="J2"/>
      <x:c r="K2"/>
      <x:c r="L2"/>
    </x:row>
    <x:row r="3" ht="118.5" customHeight="1">
      <x:c r="A3" s="11" t="str">
        <x:v>스피커</x:v>
      </x:c>
      <x:c r="B3" s="11" t="str">
        <x:v>영화 볼 때 쓰던 유선 스피커</x:v>
      </x:c>
      <x:c r="C3" s="11" t="str">
        <x:v>노트북으로 영화 볼 때 사용했습니다. 블루투스는 안 되고 선으로 연결해야 합니다. 잡음 없이 사용 중이에요.
모델명(가상): 가상모델 DEMO_SPEAKER_02
제품정보: 3.5mm 입력 / USB 전원
외관·기능: 소리 정상, 바닥 생활 흠집
구성품: 좌우 스피커·연결선</x:v>
      </x:c>
      <x:c r="D3" s="16" t="n">
        <x:v>18000</x:v>
      </x:c>
      <x:c r="E3" s="11" t="str">
        <x:v>거리 0.7km</x:v>
      </x:c>
      <x:c r="F3"/>
      <x:c r="G3"/>
      <x:c r="H3"/>
      <x:c r="I3"/>
      <x:c r="J3"/>
      <x:c r="K3"/>
      <x:c r="L3"/>
    </x:row>
    <x:row r="4" ht="103.5" customHeight="1">
      <x:c r="A4" s="14" t="str">
        <x:v>거치대</x:v>
      </x:c>
      <x:c r="B4" s="14" t="str">
        <x:v>접이식 태블릿 거치대</x:v>
      </x:c>
      <x:c r="C4" s="14" t="str">
        <x:v>침대 옆 탁자에서 영상 볼 때 사용했어요. 휴대폰이나 태블릿을 올려두는 용도이고 노트북용은 아닙니다.
모델명(가상): 가상모델 DEMO_STAND_03
제품정보: 각도 조절 / 접이식
외관·기능: 힌지 정상, 모서리 작은 흠집
구성품: 거치대 단품</x:v>
      </x:c>
      <x:c r="D4" s="15" t="n">
        <x:v>8000</x:v>
      </x:c>
      <x:c r="E4" s="14" t="str">
        <x:v>거리 2km</x:v>
      </x:c>
      <x:c r="F4"/>
      <x:c r="G4"/>
      <x:c r="H4"/>
      <x:c r="I4"/>
      <x:c r="J4"/>
      <x:c r="K4"/>
      <x:c r="L4"/>
    </x:row>
    <x:row r="5" ht="118.5" customHeight="1">
      <x:c r="A5" s="11" t="str">
        <x:v>헤드폰</x:v>
      </x:c>
      <x:c r="B5" s="11" t="str">
        <x:v>영화 감상용 블루투스 헤드폰</x:v>
      </x:c>
      <x:c r="C5" s="11" t="str">
        <x:v>밤에 영화 볼 때 사용했어요. 이어패드는 사용감 있습니다. 기기마다 영상과 소리 지연이 다를 수 있어 직접 연결해보세요.
모델명(가상): 가상모델 DEMO_HEADPHONE_04
제품정보: 블루투스 / 유선 입력
외관·기능: 이어패드 사용감, 연결 정상
구성품: 헤드폰·충전 케이블</x:v>
      </x:c>
      <x:c r="D5" s="16" t="n">
        <x:v>35000</x:v>
      </x:c>
      <x:c r="E5" s="11" t="str">
        <x:v>거리 2.6km</x:v>
      </x:c>
      <x:c r="F5"/>
      <x:c r="G5"/>
      <x:c r="H5"/>
      <x:c r="I5"/>
      <x:c r="J5"/>
      <x:c r="K5"/>
      <x:c r="L5"/>
    </x:row>
    <x:row r="6" ht="118.5" customHeight="1">
      <x:c r="A6" s="14" t="str">
        <x:v>스크린</x:v>
      </x:c>
      <x:c r="B6" s="14" t="str">
        <x:v>접이식 프로젝터 스크린</x:v>
      </x:c>
      <x:c r="C6" s="14" t="str">
        <x:v>집에서 영화 감상용으로 사용했습니다. 가장자리에 얼룩 조금 있지만 중앙은 깨끗합니다. 접어 보관할 수 있어요.
모델명(가상): 가상모델 DEMO_SCREEN_05
제품정보: 60인치 / 삼각대형
외관·기능: 화면 가장자리 얼룩, 중앙부 양호
구성품: 스크린·거치대</x:v>
      </x:c>
      <x:c r="D6" s="15" t="n">
        <x:v>22000</x:v>
      </x:c>
      <x:c r="E6" s="14" t="str">
        <x:v>거리 1.8km</x:v>
      </x:c>
      <x:c r="F6"/>
      <x:c r="G6"/>
      <x:c r="H6"/>
      <x:c r="I6"/>
      <x:c r="J6"/>
      <x:c r="K6"/>
      <x:c r="L6"/>
    </x:row>
  </x:sheetData>
  <x:pageMargins left="0.7" right="0.7" top="0.75" bottom="0.75" header="0.3" footer="0.3"/>
  <x:tableParts count="1">
    <x:tablePart xmlns:r="http://schemas.openxmlformats.org/officeDocument/2006/relationships" r:id="Racf5876939a34e91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ColWidth="8.796875" defaultRowHeight="15"/>
  <x:cols>
    <x:col min="1" max="1" width="24" style="2" customWidth="1"/>
    <x:col min="2" max="2" width="125" style="2" customWidth="1"/>
  </x:cols>
  <x:sheetData>
    <x:row r="1" ht="42" customHeight="1">
      <x:c r="A1" s="4" t="s">
        <x:v>147</x:v>
      </x:c>
      <x:c r="B1" s="4" t="s">
        <x:v>148</x:v>
      </x:c>
    </x:row>
    <x:row r="2" ht="48" customHeight="1">
      <x:c r="A2" s="3" t="s">
        <x:v>149</x:v>
      </x:c>
      <x:c r="B2" s="3" t="s">
        <x:v>150</x:v>
      </x:c>
    </x:row>
    <x:row r="3" ht="48" customHeight="1">
      <x:c r="A3" s="3" t="s">
        <x:v>151</x:v>
      </x:c>
      <x:c r="B3" s="3" t="s">
        <x:v>152</x:v>
      </x:c>
    </x:row>
    <x:row r="4" ht="48" customHeight="1">
      <x:c r="A4" s="3" t="s">
        <x:v>153</x:v>
      </x:c>
      <x:c r="B4" s="3" t="s">
        <x:v>154</x:v>
      </x:c>
    </x:row>
    <x:row r="5" ht="48" customHeight="1">
      <x:c r="A5" s="3" t="s">
        <x:v>155</x:v>
      </x:c>
      <x:c r="B5" s="3" t="s">
        <x:v>156</x:v>
      </x:c>
    </x:row>
    <x:row r="6" ht="48" customHeight="1">
      <x:c r="A6" s="3" t="s">
        <x:v>157</x:v>
      </x:c>
      <x:c r="B6" s="3" t="s">
        <x:v>158</x:v>
      </x:c>
    </x:row>
    <x:row r="7" ht="48" customHeight="1">
      <x:c r="A7" s="3" t="s">
        <x:v>159</x:v>
      </x:c>
      <x:c r="B7" s="3" t="s">
        <x:v>160</x:v>
      </x:c>
    </x:row>
    <x:row r="8" ht="48" customHeight="1">
      <x:c r="A8" s="3" t="s">
        <x:v>161</x:v>
      </x:c>
      <x:c r="B8" s="3" t="s">
        <x:v>162</x:v>
      </x:c>
    </x:row>
    <x:row r="9" ht="48" customHeight="1">
      <x:c r="A9" s="3" t="s">
        <x:v>163</x:v>
      </x:c>
      <x:c r="B9" s="3" t="s">
        <x:v>164</x:v>
      </x:c>
    </x:row>
    <x:row r="10" ht="48" customHeight="1">
      <x:c r="A10" s="3" t="s">
        <x:v>165</x:v>
      </x:c>
      <x:c r="B10" s="3" t="s">
        <x:v>166</x:v>
      </x:c>
    </x:row>
    <x:row r="11" ht="48" customHeight="1">
      <x:c r="A11" s="3" t="s">
        <x:v>91</x:v>
      </x:c>
      <x:c r="B11" s="3" t="s">
        <x:v>167</x:v>
      </x:c>
    </x:row>
    <x:row r="12" ht="48" customHeight="1">
      <x:c r="A12" s="3" t="s">
        <x:v>168</x:v>
      </x:c>
      <x:c r="B12" s="3" t="s">
        <x:v>169</x:v>
      </x:c>
    </x:row>
    <x:row r="13" ht="48" customHeight="1">
      <x:c r="A13" s="3" t="s">
        <x:v>170</x:v>
      </x:c>
      <x:c r="B13" s="3" t="s">
        <x:v>171</x:v>
      </x:c>
    </x:row>
    <x:row r="14" ht="48" customHeight="1">
      <x:c r="A14" s="3" t="s">
        <x:v>172</x:v>
      </x:c>
      <x:c r="B14" s="3" t="s">
        <x:v>173</x:v>
      </x:c>
    </x:row>
    <x:row r="15" ht="48" customHeight="1">
      <x:c r="A15" s="3" t="s">
        <x:v>174</x:v>
      </x:c>
      <x:c r="B15" s="3" t="s">
        <x:v>175</x:v>
      </x:c>
    </x:row>
    <x:row r="16" ht="48" customHeight="1">
      <x:c r="A16" s="3" t="s">
        <x:v>176</x:v>
      </x:c>
      <x:c r="B16" s="3" t="s">
        <x:v>177</x:v>
      </x:c>
    </x:row>
    <x:row r="17" ht="48" customHeight="1">
      <x:c r="A17" s="3" t="s">
        <x:v>178</x:v>
      </x:c>
      <x:c r="B17" s="3" t="s">
        <x:v>179</x:v>
      </x:c>
    </x:row>
    <x:row r="18" ht="48" customHeight="1">
      <x:c r="A18" s="3" t="s">
        <x:v>180</x:v>
      </x:c>
      <x:c r="B18" s="3" t="s">
        <x:v>181</x:v>
      </x:c>
    </x:row>
    <x:row r="19" ht="48" customHeight="1">
      <x:c r="A19" s="3" t="s">
        <x:v>182</x:v>
      </x:c>
      <x:c r="B19" s="3" t="s">
        <x:v>183</x:v>
      </x:c>
    </x:row>
    <x:row r="20" ht="48" customHeight="1">
      <x:c r="A20" s="3" t="s">
        <x:v>184</x:v>
      </x:c>
      <x:c r="B20" s="3" t="s">
        <x:v>185</x:v>
      </x:c>
    </x:row>
    <x:row r="21" ht="48" customHeight="1">
      <x:c r="A21" s="3" t="s">
        <x:v>186</x:v>
      </x:c>
      <x:c r="B21" s="3" t="s">
        <x:v>187</x:v>
      </x:c>
    </x:row>
    <x:row r="22" ht="48" customHeight="1">
      <x:c r="A22" s="3" t="s">
        <x:v>188</x:v>
      </x:c>
      <x:c r="B22" s="3" t="s">
        <x:v>189</x:v>
      </x:c>
    </x:row>
    <x:row r="23" ht="48" customHeight="1">
      <x:c r="A23" s="3" t="s">
        <x:v>190</x:v>
      </x:c>
      <x:c r="B23" s="3" t="s">
        <x:v>191</x:v>
      </x:c>
    </x:row>
  </x:sheetData>
  <x:pageMargins left="0.7" right="0.7" top="0.75" bottom="0.75" header="0.3" footer="0.3"/>
  <x:tableParts count="1">
    <x:tablePart xmlns:r="http://schemas.openxmlformats.org/officeDocument/2006/relationships" r:id="Rca9998a7d2014917"/>
  </x:tableParts>
</x:worksheet>
</file>